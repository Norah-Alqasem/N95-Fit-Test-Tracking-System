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ICU" sheetId="2" state="visible" r:id="rId4"/>
    <sheet name="IMCU" sheetId="3" state="visible" r:id="rId5"/>
    <sheet name="CCU" sheetId="4" state="visible" r:id="rId6"/>
    <sheet name="CICU" sheetId="5" state="visible" r:id="rId7"/>
    <sheet name="SCBU" sheetId="6" state="visible" r:id="rId8"/>
    <sheet name="SICU" sheetId="7" state="visible" r:id="rId9"/>
    <sheet name="PICU" sheetId="8" state="visible" r:id="rId10"/>
    <sheet name="NICU" sheetId="9" state="visible" r:id="rId11"/>
    <sheet name="L&amp;D" sheetId="10" state="visible" r:id="rId12"/>
    <sheet name="OR" sheetId="11" state="visible" r:id="rId13"/>
    <sheet name="Specialty Clinic" sheetId="12" state="visible" r:id="rId14"/>
    <sheet name="Dental" sheetId="13" state="visible" r:id="rId15"/>
    <sheet name="FMW" sheetId="14" state="visible" r:id="rId16"/>
    <sheet name="OB" sheetId="15" state="visible" r:id="rId17"/>
    <sheet name="NBN" sheetId="16" state="visible" r:id="rId18"/>
    <sheet name="Hemodialysis" sheetId="17" state="visible" r:id="rId19"/>
    <sheet name="Cardiac Center" sheetId="18" state="visible" r:id="rId20"/>
    <sheet name="PW" sheetId="19" state="visible" r:id="rId21"/>
    <sheet name="FSW" sheetId="20" state="visible" r:id="rId22"/>
    <sheet name="Endoscopy" sheetId="21" state="visible" r:id="rId23"/>
    <sheet name="HK" sheetId="22" state="visible" r:id="rId24"/>
    <sheet name="FMC" sheetId="23" state="visible" r:id="rId25"/>
    <sheet name="MMW" sheetId="24" state="visible" r:id="rId26"/>
    <sheet name="MSW" sheetId="25" state="visible" r:id="rId27"/>
    <sheet name="CW" sheetId="26" state="visible" r:id="rId28"/>
    <sheet name="Radiology" sheetId="27" state="visible" r:id="rId29"/>
    <sheet name="HHC" sheetId="28" state="visible" r:id="rId30"/>
    <sheet name="MS1" sheetId="29" state="visible" r:id="rId31"/>
    <sheet name="DAY CASE" sheetId="30" state="visible" r:id="rId32"/>
    <sheet name="LABORATORY" sheetId="31" state="visible" r:id="rId33"/>
    <sheet name="ER" sheetId="32" state="visible" r:id="rId34"/>
    <sheet name="RR" sheetId="33" state="visible" r:id="rId35"/>
    <sheet name="Physiotherapy" sheetId="34" state="visible" r:id="rId36"/>
    <sheet name="README" sheetId="35" state="visible" r:id="rId3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<sst xmlns="http://schemas.openxmlformats.org/spreadsheetml/2006/main" count="330" uniqueCount="103">
  <si>
    <t xml:space="preserve">N95 Fit Test Tracking — Dashboard</t>
  </si>
  <si>
    <t xml:space="preserve">Hospital Infection Control | Auto-updates from department sheets</t>
  </si>
  <si>
    <t xml:space="preserve">Total Employees</t>
  </si>
  <si>
    <t xml:space="preserve">Valid</t>
  </si>
  <si>
    <t xml:space="preserve">Expiring Soon</t>
  </si>
  <si>
    <t xml:space="preserve">Expired</t>
  </si>
  <si>
    <t xml:space="preserve">Breakdown by Department</t>
  </si>
  <si>
    <t xml:space="preserve">Department</t>
  </si>
  <si>
    <t xml:space="preserve">Total</t>
  </si>
  <si>
    <t xml:space="preserve">AICU</t>
  </si>
  <si>
    <t xml:space="preserve">IMCU</t>
  </si>
  <si>
    <t xml:space="preserve">CCU</t>
  </si>
  <si>
    <t xml:space="preserve">CICU</t>
  </si>
  <si>
    <t xml:space="preserve">SCBU</t>
  </si>
  <si>
    <t xml:space="preserve">SICU</t>
  </si>
  <si>
    <t xml:space="preserve">PICU</t>
  </si>
  <si>
    <t xml:space="preserve">NICU</t>
  </si>
  <si>
    <t xml:space="preserve">L&amp;D</t>
  </si>
  <si>
    <t xml:space="preserve">OR</t>
  </si>
  <si>
    <t xml:space="preserve">Specialty Clinic</t>
  </si>
  <si>
    <t xml:space="preserve">Dental</t>
  </si>
  <si>
    <t xml:space="preserve">FMW</t>
  </si>
  <si>
    <t xml:space="preserve">OB</t>
  </si>
  <si>
    <t xml:space="preserve">NBN</t>
  </si>
  <si>
    <t xml:space="preserve">Hemodialysis</t>
  </si>
  <si>
    <t xml:space="preserve">Cardiac Center</t>
  </si>
  <si>
    <t xml:space="preserve">PW</t>
  </si>
  <si>
    <t xml:space="preserve">FSW</t>
  </si>
  <si>
    <t xml:space="preserve">Endoscopy</t>
  </si>
  <si>
    <t xml:space="preserve">HK</t>
  </si>
  <si>
    <t xml:space="preserve">FMC</t>
  </si>
  <si>
    <t xml:space="preserve">MMW</t>
  </si>
  <si>
    <t xml:space="preserve">MSW</t>
  </si>
  <si>
    <t xml:space="preserve">CW</t>
  </si>
  <si>
    <t xml:space="preserve">Radiology</t>
  </si>
  <si>
    <t xml:space="preserve">HHC</t>
  </si>
  <si>
    <t xml:space="preserve">MS1</t>
  </si>
  <si>
    <t xml:space="preserve">DAY CASE</t>
  </si>
  <si>
    <t xml:space="preserve">LABORATORY</t>
  </si>
  <si>
    <t xml:space="preserve">ER</t>
  </si>
  <si>
    <t xml:space="preserve">RR</t>
  </si>
  <si>
    <t xml:space="preserve">Physiotherapy</t>
  </si>
  <si>
    <t xml:space="preserve">TOTAL</t>
  </si>
  <si>
    <t xml:space="preserve">Quick Notes</t>
  </si>
  <si>
    <t xml:space="preserve">• Each department sheet has identical column structure (A-G).</t>
  </si>
  <si>
    <t xml:space="preserve">• Expiration Date and Validation Status are computed automatically — never type values into columns F or G.</t>
  </si>
  <si>
    <t xml:space="preserve">• Status thresholds: Valid = &gt;30 days, Expiring Soon = ≤30 days, Expired = past date.</t>
  </si>
  <si>
    <t xml:space="preserve">• Save the file as .xlsm and import the VBA module to enable email alerts.</t>
  </si>
  <si>
    <t xml:space="preserve">• To add a new department: duplicate any sheet, then add a row to the Breakdown table.</t>
  </si>
  <si>
    <t xml:space="preserve">AICU — N95 Fit Test Tracking</t>
  </si>
  <si>
    <t xml:space="preserve">Employee Name</t>
  </si>
  <si>
    <t xml:space="preserve">Employee ID</t>
  </si>
  <si>
    <t xml:space="preserve">Department Email</t>
  </si>
  <si>
    <t xml:space="preserve">N95 Mask Type</t>
  </si>
  <si>
    <t xml:space="preserve">Fit Test Date</t>
  </si>
  <si>
    <t xml:space="preserve">Expiration Date</t>
  </si>
  <si>
    <t xml:space="preserve">Validation Status</t>
  </si>
  <si>
    <t xml:space="preserve">IMCU — N95 Fit Test Tracking</t>
  </si>
  <si>
    <t xml:space="preserve">CCU — N95 Fit Test Tracking</t>
  </si>
  <si>
    <t xml:space="preserve">CICU — N95 Fit Test Tracking</t>
  </si>
  <si>
    <t xml:space="preserve">SCBU — N95 Fit Test Tracking</t>
  </si>
  <si>
    <t xml:space="preserve">SICU — N95 Fit Test Tracking</t>
  </si>
  <si>
    <t xml:space="preserve">PICU — N95 Fit Test Tracking</t>
  </si>
  <si>
    <t xml:space="preserve">NICU — N95 Fit Test Tracking</t>
  </si>
  <si>
    <t xml:space="preserve">L&amp;D — N95 Fit Test Tracking</t>
  </si>
  <si>
    <t xml:space="preserve">OR — N95 Fit Test Tracking</t>
  </si>
  <si>
    <t xml:space="preserve">Specialty Clinic — N95 Fit Test Tracking</t>
  </si>
  <si>
    <t xml:space="preserve">Dental — N95 Fit Test Tracking</t>
  </si>
  <si>
    <t xml:space="preserve">FMW — N95 Fit Test Tracking</t>
  </si>
  <si>
    <t xml:space="preserve">OB — N95 Fit Test Tracking</t>
  </si>
  <si>
    <t xml:space="preserve">NBN — N95 Fit Test Tracking</t>
  </si>
  <si>
    <t xml:space="preserve">Hemodialysis — N95 Fit Test Tracking</t>
  </si>
  <si>
    <t xml:space="preserve">Cardiac Center — N95 Fit Test Tracking</t>
  </si>
  <si>
    <t xml:space="preserve">PW — N95 Fit Test Tracking</t>
  </si>
  <si>
    <t xml:space="preserve">FSW — N95 Fit Test Tracking</t>
  </si>
  <si>
    <t xml:space="preserve">Endoscopy — N95 Fit Test Tracking</t>
  </si>
  <si>
    <t xml:space="preserve">HK — N95 Fit Test Tracking</t>
  </si>
  <si>
    <t xml:space="preserve">FMC — N95 Fit Test Tracking</t>
  </si>
  <si>
    <t xml:space="preserve">MMW — N95 Fit Test Tracking</t>
  </si>
  <si>
    <t xml:space="preserve">MSW — N95 Fit Test Tracking</t>
  </si>
  <si>
    <t xml:space="preserve">CW — N95 Fit Test Tracking</t>
  </si>
  <si>
    <t xml:space="preserve">Radiology — N95 Fit Test Tracking</t>
  </si>
  <si>
    <t xml:space="preserve">HHC — N95 Fit Test Tracking</t>
  </si>
  <si>
    <t xml:space="preserve">MS1 — N95 Fit Test Tracking</t>
  </si>
  <si>
    <t xml:space="preserve">DAY CASE — N95 Fit Test Tracking</t>
  </si>
  <si>
    <t xml:space="preserve">LABORATORY — N95 Fit Test Tracking</t>
  </si>
  <si>
    <t xml:space="preserve">ER — N95 Fit Test Tracking</t>
  </si>
  <si>
    <t xml:space="preserve">RR — N95 Fit Test Tracking</t>
  </si>
  <si>
    <t xml:space="preserve">Physiotherapy — N95 Fit Test Tracking</t>
  </si>
  <si>
    <t xml:space="preserve">How to use this workbook (Excel + VBA)</t>
  </si>
  <si>
    <t xml:space="preserve">STEP 1 — Save as .xlsm:  File → Save As → Excel Macro-Enabled Workbook (*.xlsm).</t>
  </si>
  <si>
    <t xml:space="preserve">STEP 2 — Import VBA module:  Press Alt+F11 → right-click VBAProject → Import File → select N95_FitTest_VBA.bas.</t>
  </si>
  <si>
    <t xml:space="preserve">STEP 3 — Edit CONFIG:  In the imported module, update INFECTION_CONTROL_EMAIL and HOSPITAL_NAME.</t>
  </si>
  <si>
    <t xml:space="preserve">STEP 4 — Trust macros:  Reopen the file and click 'Enable Content' on the yellow security bar.</t>
  </si>
  <si>
    <t xml:space="preserve">STEP 5 — Test:  Press Alt+F8 → run SendSelfTest, then run TestRun.</t>
  </si>
  <si>
    <t xml:space="preserve">STEP 6 — Schedule:  Either add a Workbook_Open event, or use Windows Task Scheduler. See SETUP_STEPS_EXCEL.md.</t>
  </si>
  <si>
    <t xml:space="preserve">ADDING DATA:</t>
  </si>
  <si>
    <t xml:space="preserve">  • Type Name, ID, Email, Mask Type, and Fit Test Date in any department sheet.</t>
  </si>
  <si>
    <t xml:space="preserve">  • Expiration Date and Status compute automatically.</t>
  </si>
  <si>
    <t xml:space="preserve">STATUS LOGIC:</t>
  </si>
  <si>
    <t xml:space="preserve">  • Valid: more than 30 days remaining (green).</t>
  </si>
  <si>
    <t xml:space="preserve">  • Expiring Soon: 30 days or less (yellow) — triggers email alert.</t>
  </si>
  <si>
    <t xml:space="preserve">  • Expired: past expiration date (red).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</si>
</sst>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22"/>
      <color rgb="FF28A745"/>
      <name val="Arial"/>
      <family val="0"/>
      <charset val="1"/>
    </font>
    <font>
      <b val="true"/>
      <sz val="22"/>
      <color rgb="FFF39C12"/>
      <name val="Arial"/>
      <family val="0"/>
      <charset val="1"/>
    </font>
    <font>
      <b val="true"/>
      <sz val="22"/>
      <color rgb="FFDC3545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856404"/>
        <sz val="11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721C24"/>
        <sz val="11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155724"/>
        <sz val="11"/>
      </font>
      <fill>
        <patternFill>
          <bgColor rgb="FFD4EDDA"/>
        </patternFill>
      </fill>
    </dxf>
    <dxf>
      <fill>
        <patternFill>
          <bgColor rgb="FFFCE4E4"/>
        </patternFill>
      </fill>
    </dxf>
    <dxf>
      <fill>
        <patternFill>
          <bgColor rgb="FFFFF8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CCCCC"/>
      <rgbColor rgb="FF777777"/>
      <rgbColor rgb="FF9999FF"/>
      <rgbColor rgb="FFDC3545"/>
      <rgbColor rgb="FFFFF8E1"/>
      <rgbColor rgb="FFF2F2F2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39C12"/>
      <rgbColor rgb="FFFF6600"/>
      <rgbColor rgb="FF555555"/>
      <rgbColor rgb="FF969696"/>
      <rgbColor rgb="FF003366"/>
      <rgbColor rgb="FF28A745"/>
      <rgbColor rgb="FF155724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9.75" hidden="false" customHeight="true" outlineLevel="0" collapsed="false">
      <c r="A5" s="4" t="n">
        <f aca="false">B42</f>
        <v>0</v>
      </c>
      <c r="B5" s="4"/>
      <c r="C5" s="5" t="n">
        <f aca="false">C42</f>
        <v>0</v>
      </c>
      <c r="D5" s="5"/>
      <c r="E5" s="6" t="n">
        <f aca="false">D42</f>
        <v>0</v>
      </c>
      <c r="F5" s="6"/>
      <c r="G5" s="7" t="n">
        <f aca="false">E42</f>
        <v>0</v>
      </c>
      <c r="H5" s="7"/>
    </row>
    <row r="7" customFormat="false" ht="15" hidden="false" customHeight="false" outlineLevel="0" collapsed="false">
      <c r="A7" s="8" t="s">
        <v>6</v>
      </c>
    </row>
    <row r="8" customFormat="false" ht="21.75" hidden="false" customHeight="true" outlineLevel="0" collapsed="false">
      <c r="A8" s="9" t="s">
        <v>7</v>
      </c>
      <c r="B8" s="9" t="s">
        <v>8</v>
      </c>
      <c r="C8" s="9" t="s">
        <v>3</v>
      </c>
      <c r="D8" s="9" t="s">
        <v>4</v>
      </c>
      <c r="E8" s="9" t="s">
        <v>5</v>
      </c>
    </row>
    <row r="9" customFormat="false" ht="15" hidden="false" customHeight="false" outlineLevel="0" collapsed="false">
      <c r="A9" s="10" t="s">
        <v>9</v>
      </c>
      <c r="B9" s="11" t="n">
        <f aca="false">COUNTA(AICU!A3:A102)</f>
        <v>0</v>
      </c>
      <c r="C9" s="11" t="n">
        <f aca="false">COUNTIF(AICU!G3:G102,"Valid")</f>
        <v>0</v>
      </c>
      <c r="D9" s="11" t="n">
        <f aca="false">COUNTIF(AICU!G3:G102,"Expiring Soon")</f>
        <v>0</v>
      </c>
      <c r="E9" s="11" t="n">
        <f aca="false">COUNTIF(AICU!G3:G102,"Expired")</f>
        <v>0</v>
      </c>
    </row>
    <row r="10" customFormat="false" ht="15" hidden="false" customHeight="false" outlineLevel="0" collapsed="false">
      <c r="A10" s="10" t="s">
        <v>10</v>
      </c>
      <c r="B10" s="11" t="n">
        <f aca="false">COUNTA(IMCU!A3:A102)</f>
        <v>0</v>
      </c>
      <c r="C10" s="11" t="n">
        <f aca="false">COUNTIF(IMCU!G3:G102,"Valid")</f>
        <v>0</v>
      </c>
      <c r="D10" s="11" t="n">
        <f aca="false">COUNTIF(IMCU!G3:G102,"Expiring Soon")</f>
        <v>0</v>
      </c>
      <c r="E10" s="11" t="n">
        <f aca="false">COUNTIF(IMCU!G3:G102,"Expired")</f>
        <v>0</v>
      </c>
    </row>
    <row r="11" customFormat="false" ht="15" hidden="false" customHeight="false" outlineLevel="0" collapsed="false">
      <c r="A11" s="10" t="s">
        <v>11</v>
      </c>
      <c r="B11" s="11" t="n">
        <f aca="false">COUNTA(CCU!A3:A102)</f>
        <v>0</v>
      </c>
      <c r="C11" s="11" t="n">
        <f aca="false">COUNTIF(CCU!G3:G102,"Valid")</f>
        <v>0</v>
      </c>
      <c r="D11" s="11" t="n">
        <f aca="false">COUNTIF(CCU!G3:G102,"Expiring Soon")</f>
        <v>0</v>
      </c>
      <c r="E11" s="11" t="n">
        <f aca="false">COUNTIF(CCU!G3:G102,"Expired")</f>
        <v>0</v>
      </c>
    </row>
    <row r="12" customFormat="false" ht="15" hidden="false" customHeight="false" outlineLevel="0" collapsed="false">
      <c r="A12" s="10" t="s">
        <v>12</v>
      </c>
      <c r="B12" s="11" t="n">
        <f aca="false">COUNTA(CICU!A3:A102)</f>
        <v>0</v>
      </c>
      <c r="C12" s="11" t="n">
        <f aca="false">COUNTIF(CICU!G3:G102,"Valid")</f>
        <v>0</v>
      </c>
      <c r="D12" s="11" t="n">
        <f aca="false">COUNTIF(CICU!G3:G102,"Expiring Soon")</f>
        <v>0</v>
      </c>
      <c r="E12" s="11" t="n">
        <f aca="false">COUNTIF(CICU!G3:G102,"Expired")</f>
        <v>0</v>
      </c>
    </row>
    <row r="13" customFormat="false" ht="15" hidden="false" customHeight="false" outlineLevel="0" collapsed="false">
      <c r="A13" s="10" t="s">
        <v>13</v>
      </c>
      <c r="B13" s="11" t="n">
        <f aca="false">COUNTA(SCBU!A3:A102)</f>
        <v>0</v>
      </c>
      <c r="C13" s="11" t="n">
        <f aca="false">COUNTIF(SCBU!G3:G102,"Valid")</f>
        <v>0</v>
      </c>
      <c r="D13" s="11" t="n">
        <f aca="false">COUNTIF(SCBU!G3:G102,"Expiring Soon")</f>
        <v>0</v>
      </c>
      <c r="E13" s="11" t="n">
        <f aca="false">COUNTIF(SCBU!G3:G102,"Expired")</f>
        <v>0</v>
      </c>
    </row>
    <row r="14" customFormat="false" ht="15" hidden="false" customHeight="false" outlineLevel="0" collapsed="false">
      <c r="A14" s="10" t="s">
        <v>14</v>
      </c>
      <c r="B14" s="11" t="n">
        <f aca="false">COUNTA(SICU!A3:A102)</f>
        <v>0</v>
      </c>
      <c r="C14" s="11" t="n">
        <f aca="false">COUNTIF(SICU!G3:G102,"Valid")</f>
        <v>0</v>
      </c>
      <c r="D14" s="11" t="n">
        <f aca="false">COUNTIF(SICU!G3:G102,"Expiring Soon")</f>
        <v>0</v>
      </c>
      <c r="E14" s="11" t="n">
        <f aca="false">COUNTIF(SICU!G3:G102,"Expired")</f>
        <v>0</v>
      </c>
    </row>
    <row r="15" customFormat="false" ht="15" hidden="false" customHeight="false" outlineLevel="0" collapsed="false">
      <c r="A15" s="10" t="s">
        <v>15</v>
      </c>
      <c r="B15" s="11" t="n">
        <f aca="false">COUNTA(PICU!A3:A102)</f>
        <v>0</v>
      </c>
      <c r="C15" s="11" t="n">
        <f aca="false">COUNTIF(PICU!G3:G102,"Valid")</f>
        <v>0</v>
      </c>
      <c r="D15" s="11" t="n">
        <f aca="false">COUNTIF(PICU!G3:G102,"Expiring Soon")</f>
        <v>0</v>
      </c>
      <c r="E15" s="11" t="n">
        <f aca="false">COUNTIF(PICU!G3:G102,"Expired")</f>
        <v>0</v>
      </c>
    </row>
    <row r="16" customFormat="false" ht="15" hidden="false" customHeight="false" outlineLevel="0" collapsed="false">
      <c r="A16" s="10" t="s">
        <v>16</v>
      </c>
      <c r="B16" s="11" t="n">
        <f aca="false">COUNTA(NICU!A3:A102)</f>
        <v>0</v>
      </c>
      <c r="C16" s="11" t="n">
        <f aca="false">COUNTIF(NICU!G3:G102,"Valid")</f>
        <v>0</v>
      </c>
      <c r="D16" s="11" t="n">
        <f aca="false">COUNTIF(NICU!G3:G102,"Expiring Soon")</f>
        <v>0</v>
      </c>
      <c r="E16" s="11" t="n">
        <f aca="false">COUNTIF(NICU!G3:G102,"Expired")</f>
        <v>0</v>
      </c>
    </row>
    <row r="17" customFormat="false" ht="15" hidden="false" customHeight="false" outlineLevel="0" collapsed="false">
      <c r="A17" s="10" t="s">
        <v>17</v>
      </c>
      <c r="B17" s="11" t="n">
        <f aca="false">COUNTA('L&amp;D'!A3:A102)</f>
        <v>0</v>
      </c>
      <c r="C17" s="11" t="n">
        <f aca="false">COUNTIF('L&amp;D'!G3:G102,"Valid")</f>
        <v>0</v>
      </c>
      <c r="D17" s="11" t="n">
        <f aca="false">COUNTIF('L&amp;D'!G3:G102,"Expiring Soon")</f>
        <v>0</v>
      </c>
      <c r="E17" s="11" t="n">
        <f aca="false">COUNTIF('L&amp;D'!G3:G102,"Expired")</f>
        <v>0</v>
      </c>
    </row>
    <row r="18" customFormat="false" ht="15" hidden="false" customHeight="false" outlineLevel="0" collapsed="false">
      <c r="A18" s="10" t="s">
        <v>18</v>
      </c>
      <c r="B18" s="11" t="n">
        <f aca="false">COUNTA(OR!A3:A102)</f>
        <v>0</v>
      </c>
      <c r="C18" s="11" t="n">
        <f aca="false">COUNTIF(OR!G3:G102,"Valid")</f>
        <v>0</v>
      </c>
      <c r="D18" s="11" t="n">
        <f aca="false">COUNTIF(OR!G3:G102,"Expiring Soon")</f>
        <v>0</v>
      </c>
      <c r="E18" s="11" t="n">
        <f aca="false">COUNTIF(OR!G3:G102,"Expired")</f>
        <v>0</v>
      </c>
    </row>
    <row r="19" customFormat="false" ht="15" hidden="false" customHeight="false" outlineLevel="0" collapsed="false">
      <c r="A19" s="10" t="s">
        <v>19</v>
      </c>
      <c r="B19" s="11" t="n">
        <f aca="false">COUNTA('Specialty Clinic'!A3:A102)</f>
        <v>0</v>
      </c>
      <c r="C19" s="11" t="n">
        <f aca="false">COUNTIF('Specialty Clinic'!G3:G102,"Valid")</f>
        <v>0</v>
      </c>
      <c r="D19" s="11" t="n">
        <f aca="false">COUNTIF('Specialty Clinic'!G3:G102,"Expiring Soon")</f>
        <v>0</v>
      </c>
      <c r="E19" s="11" t="n">
        <f aca="false">COUNTIF('Specialty Clinic'!G3:G102,"Expired")</f>
        <v>0</v>
      </c>
    </row>
    <row r="20" customFormat="false" ht="15" hidden="false" customHeight="false" outlineLevel="0" collapsed="false">
      <c r="A20" s="10" t="s">
        <v>20</v>
      </c>
      <c r="B20" s="11" t="n">
        <f aca="false">COUNTA(Dental!A3:A102)</f>
        <v>0</v>
      </c>
      <c r="C20" s="11" t="n">
        <f aca="false">COUNTIF(Dental!G3:G102,"Valid")</f>
        <v>0</v>
      </c>
      <c r="D20" s="11" t="n">
        <f aca="false">COUNTIF(Dental!G3:G102,"Expiring Soon")</f>
        <v>0</v>
      </c>
      <c r="E20" s="11" t="n">
        <f aca="false">COUNTIF(Dental!G3:G102,"Expired")</f>
        <v>0</v>
      </c>
    </row>
    <row r="21" customFormat="false" ht="15" hidden="false" customHeight="false" outlineLevel="0" collapsed="false">
      <c r="A21" s="10" t="s">
        <v>21</v>
      </c>
      <c r="B21" s="11" t="n">
        <f aca="false">COUNTA(FMW!A3:A102)</f>
        <v>0</v>
      </c>
      <c r="C21" s="11" t="n">
        <f aca="false">COUNTIF(FMW!G3:G102,"Valid")</f>
        <v>0</v>
      </c>
      <c r="D21" s="11" t="n">
        <f aca="false">COUNTIF(FMW!G3:G102,"Expiring Soon")</f>
        <v>0</v>
      </c>
      <c r="E21" s="11" t="n">
        <f aca="false">COUNTIF(FMW!G3:G102,"Expired")</f>
        <v>0</v>
      </c>
    </row>
    <row r="22" customFormat="false" ht="15" hidden="false" customHeight="false" outlineLevel="0" collapsed="false">
      <c r="A22" s="10" t="s">
        <v>22</v>
      </c>
      <c r="B22" s="11" t="n">
        <f aca="false">COUNTA(OB!A3:A102)</f>
        <v>0</v>
      </c>
      <c r="C22" s="11" t="n">
        <f aca="false">COUNTIF(OB!G3:G102,"Valid")</f>
        <v>0</v>
      </c>
      <c r="D22" s="11" t="n">
        <f aca="false">COUNTIF(OB!G3:G102,"Expiring Soon")</f>
        <v>0</v>
      </c>
      <c r="E22" s="11" t="n">
        <f aca="false">COUNTIF(OB!G3:G102,"Expired")</f>
        <v>0</v>
      </c>
    </row>
    <row r="23" customFormat="false" ht="15" hidden="false" customHeight="false" outlineLevel="0" collapsed="false">
      <c r="A23" s="10" t="s">
        <v>23</v>
      </c>
      <c r="B23" s="11" t="n">
        <f aca="false">COUNTA(NBN!A3:A102)</f>
        <v>0</v>
      </c>
      <c r="C23" s="11" t="n">
        <f aca="false">COUNTIF(NBN!G3:G102,"Valid")</f>
        <v>0</v>
      </c>
      <c r="D23" s="11" t="n">
        <f aca="false">COUNTIF(NBN!G3:G102,"Expiring Soon")</f>
        <v>0</v>
      </c>
      <c r="E23" s="11" t="n">
        <f aca="false">COUNTIF(NBN!G3:G102,"Expired")</f>
        <v>0</v>
      </c>
    </row>
    <row r="24" customFormat="false" ht="15" hidden="false" customHeight="false" outlineLevel="0" collapsed="false">
      <c r="A24" s="10" t="s">
        <v>24</v>
      </c>
      <c r="B24" s="11" t="n">
        <f aca="false">COUNTA(Hemodialysis!A3:A102)</f>
        <v>0</v>
      </c>
      <c r="C24" s="11" t="n">
        <f aca="false">COUNTIF(Hemodialysis!G3:G102,"Valid")</f>
        <v>0</v>
      </c>
      <c r="D24" s="11" t="n">
        <f aca="false">COUNTIF(Hemodialysis!G3:G102,"Expiring Soon")</f>
        <v>0</v>
      </c>
      <c r="E24" s="11" t="n">
        <f aca="false">COUNTIF(Hemodialysis!G3:G102,"Expired")</f>
        <v>0</v>
      </c>
    </row>
    <row r="25" customFormat="false" ht="15" hidden="false" customHeight="false" outlineLevel="0" collapsed="false">
      <c r="A25" s="10" t="s">
        <v>25</v>
      </c>
      <c r="B25" s="11" t="n">
        <f aca="false">COUNTA('Cardiac Center'!A3:A102)</f>
        <v>0</v>
      </c>
      <c r="C25" s="11" t="n">
        <f aca="false">COUNTIF('Cardiac Center'!G3:G102,"Valid")</f>
        <v>0</v>
      </c>
      <c r="D25" s="11" t="n">
        <f aca="false">COUNTIF('Cardiac Center'!G3:G102,"Expiring Soon")</f>
        <v>0</v>
      </c>
      <c r="E25" s="11" t="n">
        <f aca="false">COUNTIF('Cardiac Center'!G3:G102,"Expired")</f>
        <v>0</v>
      </c>
    </row>
    <row r="26" customFormat="false" ht="15" hidden="false" customHeight="false" outlineLevel="0" collapsed="false">
      <c r="A26" s="10" t="s">
        <v>26</v>
      </c>
      <c r="B26" s="11" t="n">
        <f aca="false">COUNTA(PW!A3:A102)</f>
        <v>0</v>
      </c>
      <c r="C26" s="11" t="n">
        <f aca="false">COUNTIF(PW!G3:G102,"Valid")</f>
        <v>0</v>
      </c>
      <c r="D26" s="11" t="n">
        <f aca="false">COUNTIF(PW!G3:G102,"Expiring Soon")</f>
        <v>0</v>
      </c>
      <c r="E26" s="11" t="n">
        <f aca="false">COUNTIF(PW!G3:G102,"Expired")</f>
        <v>0</v>
      </c>
    </row>
    <row r="27" customFormat="false" ht="15" hidden="false" customHeight="false" outlineLevel="0" collapsed="false">
      <c r="A27" s="10" t="s">
        <v>27</v>
      </c>
      <c r="B27" s="11" t="n">
        <f aca="false">COUNTA(FSW!A3:A102)</f>
        <v>0</v>
      </c>
      <c r="C27" s="11" t="n">
        <f aca="false">COUNTIF(FSW!G3:G102,"Valid")</f>
        <v>0</v>
      </c>
      <c r="D27" s="11" t="n">
        <f aca="false">COUNTIF(FSW!G3:G102,"Expiring Soon")</f>
        <v>0</v>
      </c>
      <c r="E27" s="11" t="n">
        <f aca="false">COUNTIF(FSW!G3:G102,"Expired")</f>
        <v>0</v>
      </c>
    </row>
    <row r="28" customFormat="false" ht="15" hidden="false" customHeight="false" outlineLevel="0" collapsed="false">
      <c r="A28" s="10" t="s">
        <v>28</v>
      </c>
      <c r="B28" s="11" t="n">
        <f aca="false">COUNTA(Endoscopy!A3:A102)</f>
        <v>0</v>
      </c>
      <c r="C28" s="11" t="n">
        <f aca="false">COUNTIF(Endoscopy!G3:G102,"Valid")</f>
        <v>0</v>
      </c>
      <c r="D28" s="11" t="n">
        <f aca="false">COUNTIF(Endoscopy!G3:G102,"Expiring Soon")</f>
        <v>0</v>
      </c>
      <c r="E28" s="11" t="n">
        <f aca="false">COUNTIF(Endoscopy!G3:G102,"Expired")</f>
        <v>0</v>
      </c>
    </row>
    <row r="29" customFormat="false" ht="15" hidden="false" customHeight="false" outlineLevel="0" collapsed="false">
      <c r="A29" s="10" t="s">
        <v>29</v>
      </c>
      <c r="B29" s="11" t="n">
        <f aca="false">COUNTA(HK!A3:A102)</f>
        <v>0</v>
      </c>
      <c r="C29" s="11" t="n">
        <f aca="false">COUNTIF(HK!G3:G102,"Valid")</f>
        <v>0</v>
      </c>
      <c r="D29" s="11" t="n">
        <f aca="false">COUNTIF(HK!G3:G102,"Expiring Soon")</f>
        <v>0</v>
      </c>
      <c r="E29" s="11" t="n">
        <f aca="false">COUNTIF(HK!G3:G102,"Expired")</f>
        <v>0</v>
      </c>
    </row>
    <row r="30" customFormat="false" ht="15" hidden="false" customHeight="false" outlineLevel="0" collapsed="false">
      <c r="A30" s="10" t="s">
        <v>30</v>
      </c>
      <c r="B30" s="11" t="n">
        <f aca="false">COUNTA(FMC!A3:A102)</f>
        <v>0</v>
      </c>
      <c r="C30" s="11" t="n">
        <f aca="false">COUNTIF(FMC!G3:G102,"Valid")</f>
        <v>0</v>
      </c>
      <c r="D30" s="11" t="n">
        <f aca="false">COUNTIF(FMC!G3:G102,"Expiring Soon")</f>
        <v>0</v>
      </c>
      <c r="E30" s="11" t="n">
        <f aca="false">COUNTIF(FMC!G3:G102,"Expired")</f>
        <v>0</v>
      </c>
    </row>
    <row r="31" customFormat="false" ht="15" hidden="false" customHeight="false" outlineLevel="0" collapsed="false">
      <c r="A31" s="10" t="s">
        <v>31</v>
      </c>
      <c r="B31" s="11" t="n">
        <f aca="false">COUNTA(MMW!A3:A102)</f>
        <v>0</v>
      </c>
      <c r="C31" s="11" t="n">
        <f aca="false">COUNTIF(MMW!G3:G102,"Valid")</f>
        <v>0</v>
      </c>
      <c r="D31" s="11" t="n">
        <f aca="false">COUNTIF(MMW!G3:G102,"Expiring Soon")</f>
        <v>0</v>
      </c>
      <c r="E31" s="11" t="n">
        <f aca="false">COUNTIF(MMW!G3:G102,"Expired")</f>
        <v>0</v>
      </c>
    </row>
    <row r="32" customFormat="false" ht="15" hidden="false" customHeight="false" outlineLevel="0" collapsed="false">
      <c r="A32" s="10" t="s">
        <v>32</v>
      </c>
      <c r="B32" s="11" t="n">
        <f aca="false">COUNTA(MSW!A3:A102)</f>
        <v>0</v>
      </c>
      <c r="C32" s="11" t="n">
        <f aca="false">COUNTIF(MSW!G3:G102,"Valid")</f>
        <v>0</v>
      </c>
      <c r="D32" s="11" t="n">
        <f aca="false">COUNTIF(MSW!G3:G102,"Expiring Soon")</f>
        <v>0</v>
      </c>
      <c r="E32" s="11" t="n">
        <f aca="false">COUNTIF(MSW!G3:G102,"Expired")</f>
        <v>0</v>
      </c>
    </row>
    <row r="33" customFormat="false" ht="15" hidden="false" customHeight="false" outlineLevel="0" collapsed="false">
      <c r="A33" s="10" t="s">
        <v>33</v>
      </c>
      <c r="B33" s="11" t="n">
        <f aca="false">COUNTA(CW!A3:A102)</f>
        <v>0</v>
      </c>
      <c r="C33" s="11" t="n">
        <f aca="false">COUNTIF(CW!G3:G102,"Valid")</f>
        <v>0</v>
      </c>
      <c r="D33" s="11" t="n">
        <f aca="false">COUNTIF(CW!G3:G102,"Expiring Soon")</f>
        <v>0</v>
      </c>
      <c r="E33" s="11" t="n">
        <f aca="false">COUNTIF(CW!G3:G102,"Expired")</f>
        <v>0</v>
      </c>
    </row>
    <row r="34" customFormat="false" ht="15" hidden="false" customHeight="false" outlineLevel="0" collapsed="false">
      <c r="A34" s="10" t="s">
        <v>34</v>
      </c>
      <c r="B34" s="11" t="n">
        <f aca="false">COUNTA(Radiology!A3:A102)</f>
        <v>0</v>
      </c>
      <c r="C34" s="11" t="n">
        <f aca="false">COUNTIF(Radiology!G3:G102,"Valid")</f>
        <v>0</v>
      </c>
      <c r="D34" s="11" t="n">
        <f aca="false">COUNTIF(Radiology!G3:G102,"Expiring Soon")</f>
        <v>0</v>
      </c>
      <c r="E34" s="11" t="n">
        <f aca="false">COUNTIF(Radiology!G3:G102,"Expired")</f>
        <v>0</v>
      </c>
    </row>
    <row r="35" customFormat="false" ht="15" hidden="false" customHeight="false" outlineLevel="0" collapsed="false">
      <c r="A35" s="10" t="s">
        <v>35</v>
      </c>
      <c r="B35" s="11" t="n">
        <f aca="false">COUNTA(HHC!A3:A102)</f>
        <v>0</v>
      </c>
      <c r="C35" s="11" t="n">
        <f aca="false">COUNTIF(HHC!G3:G102,"Valid")</f>
        <v>0</v>
      </c>
      <c r="D35" s="11" t="n">
        <f aca="false">COUNTIF(HHC!G3:G102,"Expiring Soon")</f>
        <v>0</v>
      </c>
      <c r="E35" s="11" t="n">
        <f aca="false">COUNTIF(HHC!G3:G102,"Expired")</f>
        <v>0</v>
      </c>
    </row>
    <row r="36" customFormat="false" ht="15" hidden="false" customHeight="false" outlineLevel="0" collapsed="false">
      <c r="A36" s="10" t="s">
        <v>36</v>
      </c>
      <c r="B36" s="11" t="n">
        <f aca="false">COUNTA('MS1'!A3:A102)</f>
        <v>0</v>
      </c>
      <c r="C36" s="11" t="n">
        <f aca="false">COUNTIF('MS1'!G3:G102,"Valid")</f>
        <v>0</v>
      </c>
      <c r="D36" s="11" t="n">
        <f aca="false">COUNTIF('MS1'!G3:G102,"Expiring Soon")</f>
        <v>0</v>
      </c>
      <c r="E36" s="11" t="n">
        <f aca="false">COUNTIF('MS1'!G3:G102,"Expired")</f>
        <v>0</v>
      </c>
    </row>
    <row r="37" customFormat="false" ht="15" hidden="false" customHeight="false" outlineLevel="0" collapsed="false">
      <c r="A37" s="10" t="s">
        <v>37</v>
      </c>
      <c r="B37" s="11" t="n">
        <f aca="false">COUNTA('DAY CASE'!A3:A102)</f>
        <v>0</v>
      </c>
      <c r="C37" s="11" t="n">
        <f aca="false">COUNTIF('DAY CASE'!G3:G102,"Valid")</f>
        <v>0</v>
      </c>
      <c r="D37" s="11" t="n">
        <f aca="false">COUNTIF('DAY CASE'!G3:G102,"Expiring Soon")</f>
        <v>0</v>
      </c>
      <c r="E37" s="11" t="n">
        <f aca="false">COUNTIF('DAY CASE'!G3:G102,"Expired")</f>
        <v>0</v>
      </c>
    </row>
    <row r="38" customFormat="false" ht="15" hidden="false" customHeight="false" outlineLevel="0" collapsed="false">
      <c r="A38" s="10" t="s">
        <v>38</v>
      </c>
      <c r="B38" s="11" t="n">
        <f aca="false">COUNTA(LABORATORY!A3:A102)</f>
        <v>0</v>
      </c>
      <c r="C38" s="11" t="n">
        <f aca="false">COUNTIF(LABORATORY!G3:G102,"Valid")</f>
        <v>0</v>
      </c>
      <c r="D38" s="11" t="n">
        <f aca="false">COUNTIF(LABORATORY!G3:G102,"Expiring Soon")</f>
        <v>0</v>
      </c>
      <c r="E38" s="11" t="n">
        <f aca="false">COUNTIF(LABORATORY!G3:G102,"Expired")</f>
        <v>0</v>
      </c>
    </row>
    <row r="39" customFormat="false" ht="15" hidden="false" customHeight="false" outlineLevel="0" collapsed="false">
      <c r="A39" s="10" t="s">
        <v>39</v>
      </c>
      <c r="B39" s="11" t="n">
        <f aca="false">COUNTA(ER!A3:A102)</f>
        <v>0</v>
      </c>
      <c r="C39" s="11" t="n">
        <f aca="false">COUNTIF(ER!G3:G102,"Valid")</f>
        <v>0</v>
      </c>
      <c r="D39" s="11" t="n">
        <f aca="false">COUNTIF(ER!G3:G102,"Expiring Soon")</f>
        <v>0</v>
      </c>
      <c r="E39" s="11" t="n">
        <f aca="false">COUNTIF(ER!G3:G102,"Expired")</f>
        <v>0</v>
      </c>
    </row>
    <row r="40" customFormat="false" ht="15" hidden="false" customHeight="false" outlineLevel="0" collapsed="false">
      <c r="A40" s="10" t="s">
        <v>40</v>
      </c>
      <c r="B40" s="11" t="n">
        <f aca="false">COUNTA(RR!A3:A102)</f>
        <v>0</v>
      </c>
      <c r="C40" s="11" t="n">
        <f aca="false">COUNTIF(RR!G3:G102,"Valid")</f>
        <v>0</v>
      </c>
      <c r="D40" s="11" t="n">
        <f aca="false">COUNTIF(RR!G3:G102,"Expiring Soon")</f>
        <v>0</v>
      </c>
      <c r="E40" s="11" t="n">
        <f aca="false">COUNTIF(RR!G3:G102,"Expired")</f>
        <v>0</v>
      </c>
    </row>
    <row r="41" customFormat="false" ht="15" hidden="false" customHeight="false" outlineLevel="0" collapsed="false">
      <c r="A41" s="10" t="s">
        <v>41</v>
      </c>
      <c r="B41" s="11" t="n">
        <f aca="false">COUNTA(Physiotherapy!A3:A102)</f>
        <v>0</v>
      </c>
      <c r="C41" s="11" t="n">
        <f aca="false">COUNTIF(Physiotherapy!G3:G102,"Valid")</f>
        <v>0</v>
      </c>
      <c r="D41" s="11" t="n">
        <f aca="false">COUNTIF(Physiotherapy!G3:G102,"Expiring Soon")</f>
        <v>0</v>
      </c>
      <c r="E41" s="11" t="n">
        <f aca="false">COUNTIF(Physiotherapy!G3:G102,"Expired")</f>
        <v>0</v>
      </c>
    </row>
    <row r="42" customFormat="false" ht="15" hidden="false" customHeight="false" outlineLevel="0" collapsed="false">
      <c r="A42" s="9" t="s">
        <v>42</v>
      </c>
      <c r="B42" s="9" t="n">
        <f aca="false">SUM(B9:B41)</f>
        <v>0</v>
      </c>
      <c r="C42" s="9" t="n">
        <f aca="false">SUM(C9:C41)</f>
        <v>0</v>
      </c>
      <c r="D42" s="9" t="n">
        <f aca="false">SUM(D9:D41)</f>
        <v>0</v>
      </c>
      <c r="E42" s="9" t="n">
        <f aca="false">SUM(E9:E41)</f>
        <v>0</v>
      </c>
    </row>
    <row r="45" customFormat="false" ht="15" hidden="false" customHeight="false" outlineLevel="0" collapsed="false">
      <c r="A45" s="8" t="s">
        <v>43</v>
      </c>
    </row>
    <row r="46" customFormat="false" ht="15" hidden="false" customHeight="false" outlineLevel="0" collapsed="false">
      <c r="A46" s="12" t="s">
        <v>44</v>
      </c>
      <c r="B46" s="12"/>
      <c r="C46" s="12"/>
      <c r="D46" s="12"/>
      <c r="E46" s="12"/>
      <c r="F46" s="12"/>
      <c r="G46" s="12"/>
      <c r="H46" s="12"/>
    </row>
    <row r="47" customFormat="false" ht="15" hidden="false" customHeight="false" outlineLevel="0" collapsed="false">
      <c r="A47" s="12" t="s">
        <v>45</v>
      </c>
      <c r="B47" s="12"/>
      <c r="C47" s="12"/>
      <c r="D47" s="12"/>
      <c r="E47" s="12"/>
      <c r="F47" s="12"/>
      <c r="G47" s="12"/>
      <c r="H47" s="12"/>
    </row>
    <row r="48" customFormat="false" ht="15" hidden="false" customHeight="false" outlineLevel="0" collapsed="false">
      <c r="A48" s="12" t="s">
        <v>46</v>
      </c>
      <c r="B48" s="12"/>
      <c r="C48" s="12"/>
      <c r="D48" s="12"/>
      <c r="E48" s="12"/>
      <c r="F48" s="12"/>
      <c r="G48" s="12"/>
      <c r="H48" s="12"/>
    </row>
    <row r="49" customFormat="false" ht="15" hidden="false" customHeight="false" outlineLevel="0" collapsed="false">
      <c r="A49" s="12" t="s">
        <v>47</v>
      </c>
      <c r="B49" s="12"/>
      <c r="C49" s="12"/>
      <c r="D49" s="12"/>
      <c r="E49" s="12"/>
      <c r="F49" s="12"/>
      <c r="G49" s="12"/>
      <c r="H49" s="12"/>
    </row>
    <row r="50" customFormat="false" ht="15" hidden="false" customHeight="false" outlineLevel="0" collapsed="false">
      <c r="A50" s="12" t="s">
        <v>48</v>
      </c>
      <c r="B50" s="12"/>
      <c r="C50" s="12"/>
      <c r="D50" s="12"/>
      <c r="E50" s="12"/>
      <c r="F50" s="12"/>
      <c r="G50" s="12"/>
      <c r="H50" s="12"/>
    </row>
  </sheetData>
  <mergeCells count="15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46:H46"/>
    <mergeCell ref="A47:H47"/>
    <mergeCell ref="A48:H48"/>
    <mergeCell ref="A49:H49"/>
    <mergeCell ref="A50:H50"/>
  </mergeCells>
  <conditionalFormatting sqref="D9:D41">
    <cfRule type="cellIs" priority="2" operator="greaterThan" aboveAverage="0" equalAverage="0" bottom="0" percent="0" rank="0" text="" dxfId="0">
      <formula>0</formula>
    </cfRule>
  </conditionalFormatting>
  <conditionalFormatting sqref="E9:E41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49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57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58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59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60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61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62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63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64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65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66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67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68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69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70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71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72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73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74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75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76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77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78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79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80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81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82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83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84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85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86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87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3" t="s">
        <v>88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customFormat="false" ht="15" hidden="false" customHeight="false" outlineLevel="0" collapsed="false">
      <c r="A3" s="10"/>
      <c r="B3" s="11"/>
      <c r="C3" s="10"/>
      <c r="D3" s="10"/>
      <c r="E3" s="14"/>
      <c r="F3" s="14" t="str">
        <f aca="false">IF(E3="","",EDATE(E3,24))</f>
        <v/>
      </c>
      <c r="G3" s="11" t="str">
        <f aca="true">IF(F3="","",IF(F3&lt;TODAY(),"Expired",IF(F3-TODAY()&lt;=30,"Expiring Soon","Valid")))</f>
        <v/>
      </c>
    </row>
    <row r="4" customFormat="false" ht="15" hidden="false" customHeight="false" outlineLevel="0" collapsed="false">
      <c r="A4" s="10"/>
      <c r="B4" s="11"/>
      <c r="C4" s="10"/>
      <c r="D4" s="10"/>
      <c r="E4" s="14"/>
      <c r="F4" s="14" t="str">
        <f aca="false">IF(E4="","",EDATE(E4,24))</f>
        <v/>
      </c>
      <c r="G4" s="11" t="str">
        <f aca="true">IF(F4="","",IF(F4&lt;TODAY(),"Expired",IF(F4-TODAY()&lt;=30,"Expiring Soon","Valid")))</f>
        <v/>
      </c>
    </row>
    <row r="5" customFormat="false" ht="15" hidden="false" customHeight="false" outlineLevel="0" collapsed="false">
      <c r="A5" s="10"/>
      <c r="B5" s="11"/>
      <c r="C5" s="10"/>
      <c r="D5" s="10"/>
      <c r="E5" s="14"/>
      <c r="F5" s="14" t="str">
        <f aca="false">IF(E5="","",EDATE(E5,24))</f>
        <v/>
      </c>
      <c r="G5" s="11" t="str">
        <f aca="true">IF(F5="","",IF(F5&lt;TODAY(),"Expired",IF(F5-TODAY()&lt;=30,"Expiring Soon","Valid")))</f>
        <v/>
      </c>
    </row>
    <row r="6" customFormat="false" ht="15" hidden="false" customHeight="false" outlineLevel="0" collapsed="false">
      <c r="A6" s="10"/>
      <c r="B6" s="11"/>
      <c r="C6" s="10"/>
      <c r="D6" s="10"/>
      <c r="E6" s="14"/>
      <c r="F6" s="14" t="str">
        <f aca="false">IF(E6="","",EDATE(E6,24))</f>
        <v/>
      </c>
      <c r="G6" s="11" t="str">
        <f aca="true">IF(F6="","",IF(F6&lt;TODAY(),"Expired",IF(F6-TODAY()&lt;=30,"Expiring Soon","Valid")))</f>
        <v/>
      </c>
    </row>
    <row r="7" customFormat="false" ht="15" hidden="false" customHeight="false" outlineLevel="0" collapsed="false">
      <c r="A7" s="10"/>
      <c r="B7" s="11"/>
      <c r="C7" s="10"/>
      <c r="D7" s="10"/>
      <c r="E7" s="14"/>
      <c r="F7" s="14" t="str">
        <f aca="false">IF(E7="","",EDATE(E7,24))</f>
        <v/>
      </c>
      <c r="G7" s="11" t="str">
        <f aca="true">IF(F7="","",IF(F7&lt;TODAY(),"Expired",IF(F7-TODAY()&lt;=30,"Expiring Soon","Valid")))</f>
        <v/>
      </c>
    </row>
    <row r="8" customFormat="false" ht="15" hidden="false" customHeight="false" outlineLevel="0" collapsed="false">
      <c r="A8" s="10"/>
      <c r="B8" s="11"/>
      <c r="C8" s="10"/>
      <c r="D8" s="10"/>
      <c r="E8" s="14"/>
      <c r="F8" s="14" t="str">
        <f aca="false">IF(E8="","",EDATE(E8,24))</f>
        <v/>
      </c>
      <c r="G8" s="11" t="str">
        <f aca="true">IF(F8="","",IF(F8&lt;TODAY(),"Expired",IF(F8-TODAY()&lt;=30,"Expiring Soon","Valid")))</f>
        <v/>
      </c>
    </row>
    <row r="9" customFormat="false" ht="15" hidden="false" customHeight="false" outlineLevel="0" collapsed="false">
      <c r="A9" s="10"/>
      <c r="B9" s="11"/>
      <c r="C9" s="10"/>
      <c r="D9" s="10"/>
      <c r="E9" s="14"/>
      <c r="F9" s="14" t="str">
        <f aca="false">IF(E9="","",EDATE(E9,24))</f>
        <v/>
      </c>
      <c r="G9" s="11" t="str">
        <f aca="true">IF(F9="","",IF(F9&lt;TODAY(),"Expired",IF(F9-TODAY()&lt;=30,"Expiring Soon","Valid")))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F10" s="14" t="str">
        <f aca="false">IF(E10="","",EDATE(E10,24))</f>
        <v/>
      </c>
      <c r="G10" s="11" t="str">
        <f aca="true">IF(F10="","",IF(F10&lt;TODAY(),"Expired",IF(F10-TODAY()&lt;=30,"Expiring Soon","Valid")))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F11" s="14" t="str">
        <f aca="false">IF(E11="","",EDATE(E11,24))</f>
        <v/>
      </c>
      <c r="G11" s="11" t="str">
        <f aca="true">IF(F11="","",IF(F11&lt;TODAY(),"Expired",IF(F11-TODAY()&lt;=30,"Expiring Soon","Valid")))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F12" s="14" t="str">
        <f aca="false">IF(E12="","",EDATE(E12,24))</f>
        <v/>
      </c>
      <c r="G12" s="11" t="str">
        <f aca="true">IF(F12="","",IF(F12&lt;TODAY(),"Expired",IF(F12-TODAY()&lt;=30,"Expiring Soon","Valid")))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F13" s="14" t="str">
        <f aca="false">IF(E13="","",EDATE(E13,24))</f>
        <v/>
      </c>
      <c r="G13" s="11" t="str">
        <f aca="true">IF(F13="","",IF(F13&lt;TODAY(),"Expired",IF(F13-TODAY()&lt;=30,"Expiring Soon","Valid")))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4"/>
      <c r="F14" s="14" t="str">
        <f aca="false">IF(E14="","",EDATE(E14,24))</f>
        <v/>
      </c>
      <c r="G14" s="11" t="str">
        <f aca="true">IF(F14="","",IF(F14&lt;TODAY(),"Expired",IF(F14-TODAY()&lt;=30,"Expiring Soon","Valid")))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F15" s="14" t="str">
        <f aca="false">IF(E15="","",EDATE(E15,24))</f>
        <v/>
      </c>
      <c r="G15" s="11" t="str">
        <f aca="true">IF(F15="","",IF(F15&lt;TODAY(),"Expired",IF(F15-TODAY()&lt;=30,"Expiring Soon","Valid")))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F16" s="14" t="str">
        <f aca="false">IF(E16="","",EDATE(E16,24))</f>
        <v/>
      </c>
      <c r="G16" s="11" t="str">
        <f aca="true">IF(F16="","",IF(F16&lt;TODAY(),"Expired",IF(F16-TODAY()&lt;=30,"Expiring Soon","Valid")))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F17" s="14" t="str">
        <f aca="false">IF(E17="","",EDATE(E17,24))</f>
        <v/>
      </c>
      <c r="G17" s="11" t="str">
        <f aca="true">IF(F17="","",IF(F17&lt;TODAY(),"Expired",IF(F17-TODAY()&lt;=30,"Expiring Soon","Valid")))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F18" s="14" t="str">
        <f aca="false">IF(E18="","",EDATE(E18,24))</f>
        <v/>
      </c>
      <c r="G18" s="11" t="str">
        <f aca="true">IF(F18="","",IF(F18&lt;TODAY(),"Expired",IF(F18-TODAY()&lt;=30,"Expiring Soon","Valid")))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4"/>
      <c r="F19" s="14" t="str">
        <f aca="false">IF(E19="","",EDATE(E19,24))</f>
        <v/>
      </c>
      <c r="G19" s="11" t="str">
        <f aca="true">IF(F19="","",IF(F19&lt;TODAY(),"Expired",IF(F19-TODAY()&lt;=30,"Expiring Soon","Valid")))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4"/>
      <c r="F20" s="14" t="str">
        <f aca="false">IF(E20="","",EDATE(E20,24))</f>
        <v/>
      </c>
      <c r="G20" s="11" t="str">
        <f aca="true">IF(F20="","",IF(F20&lt;TODAY(),"Expired",IF(F20-TODAY()&lt;=30,"Expiring Soon","Valid")))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F21" s="14" t="str">
        <f aca="false">IF(E21="","",EDATE(E21,24))</f>
        <v/>
      </c>
      <c r="G21" s="11" t="str">
        <f aca="true">IF(F21="","",IF(F21&lt;TODAY(),"Expired",IF(F21-TODAY()&lt;=30,"Expiring Soon","Valid")))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4"/>
      <c r="F22" s="14" t="str">
        <f aca="false">IF(E22="","",EDATE(E22,24))</f>
        <v/>
      </c>
      <c r="G22" s="11" t="str">
        <f aca="true">IF(F22="","",IF(F22&lt;TODAY(),"Expired",IF(F22-TODAY()&lt;=30,"Expiring Soon","Valid")))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4"/>
      <c r="F23" s="14" t="str">
        <f aca="false">IF(E23="","",EDATE(E23,24))</f>
        <v/>
      </c>
      <c r="G23" s="11" t="str">
        <f aca="true">IF(F23="","",IF(F23&lt;TODAY(),"Expired",IF(F23-TODAY()&lt;=30,"Expiring Soon","Valid")))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4"/>
      <c r="F24" s="14" t="str">
        <f aca="false">IF(E24="","",EDATE(E24,24))</f>
        <v/>
      </c>
      <c r="G24" s="11" t="str">
        <f aca="true">IF(F24="","",IF(F24&lt;TODAY(),"Expired",IF(F24-TODAY()&lt;=30,"Expiring Soon","Valid")))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4"/>
      <c r="F25" s="14" t="str">
        <f aca="false">IF(E25="","",EDATE(E25,24))</f>
        <v/>
      </c>
      <c r="G25" s="11" t="str">
        <f aca="true">IF(F25="","",IF(F25&lt;TODAY(),"Expired",IF(F25-TODAY()&lt;=30,"Expiring Soon","Valid")))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4"/>
      <c r="F26" s="14" t="str">
        <f aca="false">IF(E26="","",EDATE(E26,24))</f>
        <v/>
      </c>
      <c r="G26" s="11" t="str">
        <f aca="true">IF(F26="","",IF(F26&lt;TODAY(),"Expired",IF(F26-TODAY()&lt;=30,"Expiring Soon","Valid")))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4"/>
      <c r="F27" s="14" t="str">
        <f aca="false">IF(E27="","",EDATE(E27,24))</f>
        <v/>
      </c>
      <c r="G27" s="11" t="str">
        <f aca="true">IF(F27="","",IF(F27&lt;TODAY(),"Expired",IF(F27-TODAY()&lt;=30,"Expiring Soon","Valid")))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4"/>
      <c r="F28" s="14" t="str">
        <f aca="false">IF(E28="","",EDATE(E28,24))</f>
        <v/>
      </c>
      <c r="G28" s="11" t="str">
        <f aca="true">IF(F28="","",IF(F28&lt;TODAY(),"Expired",IF(F28-TODAY()&lt;=30,"Expiring Soon","Valid")))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4"/>
      <c r="F29" s="14" t="str">
        <f aca="false">IF(E29="","",EDATE(E29,24))</f>
        <v/>
      </c>
      <c r="G29" s="11" t="str">
        <f aca="true">IF(F29="","",IF(F29&lt;TODAY(),"Expired",IF(F29-TODAY()&lt;=30,"Expiring Soon","Valid")))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4"/>
      <c r="F30" s="14" t="str">
        <f aca="false">IF(E30="","",EDATE(E30,24))</f>
        <v/>
      </c>
      <c r="G30" s="11" t="str">
        <f aca="true">IF(F30="","",IF(F30&lt;TODAY(),"Expired",IF(F30-TODAY()&lt;=30,"Expiring Soon","Valid")))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4"/>
      <c r="F31" s="14" t="str">
        <f aca="false">IF(E31="","",EDATE(E31,24))</f>
        <v/>
      </c>
      <c r="G31" s="11" t="str">
        <f aca="true">IF(F31="","",IF(F31&lt;TODAY(),"Expired",IF(F31-TODAY()&lt;=30,"Expiring Soon","Valid")))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4"/>
      <c r="F32" s="14" t="str">
        <f aca="false">IF(E32="","",EDATE(E32,24))</f>
        <v/>
      </c>
      <c r="G32" s="11" t="str">
        <f aca="true">IF(F32="","",IF(F32&lt;TODAY(),"Expired",IF(F32-TODAY()&lt;=30,"Expiring Soon","Valid")))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4"/>
      <c r="F33" s="14" t="str">
        <f aca="false">IF(E33="","",EDATE(E33,24))</f>
        <v/>
      </c>
      <c r="G33" s="11" t="str">
        <f aca="true">IF(F33="","",IF(F33&lt;TODAY(),"Expired",IF(F33-TODAY()&lt;=30,"Expiring Soon","Valid")))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4"/>
      <c r="F34" s="14" t="str">
        <f aca="false">IF(E34="","",EDATE(E34,24))</f>
        <v/>
      </c>
      <c r="G34" s="11" t="str">
        <f aca="true">IF(F34="","",IF(F34&lt;TODAY(),"Expired",IF(F34-TODAY()&lt;=30,"Expiring Soon","Valid")))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4"/>
      <c r="F35" s="14" t="str">
        <f aca="false">IF(E35="","",EDATE(E35,24))</f>
        <v/>
      </c>
      <c r="G35" s="11" t="str">
        <f aca="true">IF(F35="","",IF(F35&lt;TODAY(),"Expired",IF(F35-TODAY()&lt;=30,"Expiring Soon","Valid")))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4"/>
      <c r="F36" s="14" t="str">
        <f aca="false">IF(E36="","",EDATE(E36,24))</f>
        <v/>
      </c>
      <c r="G36" s="11" t="str">
        <f aca="true">IF(F36="","",IF(F36&lt;TODAY(),"Expired",IF(F36-TODAY()&lt;=30,"Expiring Soon","Valid")))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4"/>
      <c r="F37" s="14" t="str">
        <f aca="false">IF(E37="","",EDATE(E37,24))</f>
        <v/>
      </c>
      <c r="G37" s="11" t="str">
        <f aca="true">IF(F37="","",IF(F37&lt;TODAY(),"Expired",IF(F37-TODAY()&lt;=30,"Expiring Soon","Valid")))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4"/>
      <c r="F38" s="14" t="str">
        <f aca="false">IF(E38="","",EDATE(E38,24))</f>
        <v/>
      </c>
      <c r="G38" s="11" t="str">
        <f aca="true">IF(F38="","",IF(F38&lt;TODAY(),"Expired",IF(F38-TODAY()&lt;=30,"Expiring Soon","Valid")))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4"/>
      <c r="F39" s="14" t="str">
        <f aca="false">IF(E39="","",EDATE(E39,24))</f>
        <v/>
      </c>
      <c r="G39" s="11" t="str">
        <f aca="true">IF(F39="","",IF(F39&lt;TODAY(),"Expired",IF(F39-TODAY()&lt;=30,"Expiring Soon","Valid")))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4"/>
      <c r="F40" s="14" t="str">
        <f aca="false">IF(E40="","",EDATE(E40,24))</f>
        <v/>
      </c>
      <c r="G40" s="11" t="str">
        <f aca="true">IF(F40="","",IF(F40&lt;TODAY(),"Expired",IF(F40-TODAY()&lt;=30,"Expiring Soon","Valid")))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4"/>
      <c r="F41" s="14" t="str">
        <f aca="false">IF(E41="","",EDATE(E41,24))</f>
        <v/>
      </c>
      <c r="G41" s="11" t="str">
        <f aca="true">IF(F41="","",IF(F41&lt;TODAY(),"Expired",IF(F41-TODAY()&lt;=30,"Expiring Soon","Valid")))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4"/>
      <c r="F42" s="14" t="str">
        <f aca="false">IF(E42="","",EDATE(E42,24))</f>
        <v/>
      </c>
      <c r="G42" s="11" t="str">
        <f aca="true">IF(F42="","",IF(F42&lt;TODAY(),"Expired",IF(F42-TODAY()&lt;=30,"Expiring Soon","Valid")))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4"/>
      <c r="F43" s="14" t="str">
        <f aca="false">IF(E43="","",EDATE(E43,24))</f>
        <v/>
      </c>
      <c r="G43" s="11" t="str">
        <f aca="true">IF(F43="","",IF(F43&lt;TODAY(),"Expired",IF(F43-TODAY()&lt;=30,"Expiring Soon","Valid")))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4"/>
      <c r="F44" s="14" t="str">
        <f aca="false">IF(E44="","",EDATE(E44,24))</f>
        <v/>
      </c>
      <c r="G44" s="11" t="str">
        <f aca="true">IF(F44="","",IF(F44&lt;TODAY(),"Expired",IF(F44-TODAY()&lt;=30,"Expiring Soon","Valid")))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4"/>
      <c r="F45" s="14" t="str">
        <f aca="false">IF(E45="","",EDATE(E45,24))</f>
        <v/>
      </c>
      <c r="G45" s="11" t="str">
        <f aca="true">IF(F45="","",IF(F45&lt;TODAY(),"Expired",IF(F45-TODAY()&lt;=30,"Expiring Soon","Valid")))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4"/>
      <c r="F46" s="14" t="str">
        <f aca="false">IF(E46="","",EDATE(E46,24))</f>
        <v/>
      </c>
      <c r="G46" s="11" t="str">
        <f aca="true">IF(F46="","",IF(F46&lt;TODAY(),"Expired",IF(F46-TODAY()&lt;=30,"Expiring Soon","Valid")))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4"/>
      <c r="F47" s="14" t="str">
        <f aca="false">IF(E47="","",EDATE(E47,24))</f>
        <v/>
      </c>
      <c r="G47" s="11" t="str">
        <f aca="true">IF(F47="","",IF(F47&lt;TODAY(),"Expired",IF(F47-TODAY()&lt;=30,"Expiring Soon","Valid")))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4"/>
      <c r="F48" s="14" t="str">
        <f aca="false">IF(E48="","",EDATE(E48,24))</f>
        <v/>
      </c>
      <c r="G48" s="11" t="str">
        <f aca="true">IF(F48="","",IF(F48&lt;TODAY(),"Expired",IF(F48-TODAY()&lt;=30,"Expiring Soon","Valid")))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4"/>
      <c r="F49" s="14" t="str">
        <f aca="false">IF(E49="","",EDATE(E49,24))</f>
        <v/>
      </c>
      <c r="G49" s="11" t="str">
        <f aca="true">IF(F49="","",IF(F49&lt;TODAY(),"Expired",IF(F49-TODAY()&lt;=30,"Expiring Soon","Valid")))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4"/>
      <c r="F50" s="14" t="str">
        <f aca="false">IF(E50="","",EDATE(E50,24))</f>
        <v/>
      </c>
      <c r="G50" s="11" t="str">
        <f aca="true">IF(F50="","",IF(F50&lt;TODAY(),"Expired",IF(F50-TODAY()&lt;=30,"Expiring Soon","Valid")))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4"/>
      <c r="F51" s="14" t="str">
        <f aca="false">IF(E51="","",EDATE(E51,24))</f>
        <v/>
      </c>
      <c r="G51" s="11" t="str">
        <f aca="true">IF(F51="","",IF(F51&lt;TODAY(),"Expired",IF(F51-TODAY()&lt;=30,"Expiring Soon","Valid")))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4"/>
      <c r="F52" s="14" t="str">
        <f aca="false">IF(E52="","",EDATE(E52,24))</f>
        <v/>
      </c>
      <c r="G52" s="11" t="str">
        <f aca="true">IF(F52="","",IF(F52&lt;TODAY(),"Expired",IF(F52-TODAY()&lt;=30,"Expiring Soon","Valid")))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4"/>
      <c r="F53" s="14" t="str">
        <f aca="false">IF(E53="","",EDATE(E53,24))</f>
        <v/>
      </c>
      <c r="G53" s="11" t="str">
        <f aca="true">IF(F53="","",IF(F53&lt;TODAY(),"Expired",IF(F53-TODAY()&lt;=30,"Expiring Soon","Valid")))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4"/>
      <c r="F54" s="14" t="str">
        <f aca="false">IF(E54="","",EDATE(E54,24))</f>
        <v/>
      </c>
      <c r="G54" s="11" t="str">
        <f aca="true">IF(F54="","",IF(F54&lt;TODAY(),"Expired",IF(F54-TODAY()&lt;=30,"Expiring Soon","Valid")))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4"/>
      <c r="F55" s="14" t="str">
        <f aca="false">IF(E55="","",EDATE(E55,24))</f>
        <v/>
      </c>
      <c r="G55" s="11" t="str">
        <f aca="true">IF(F55="","",IF(F55&lt;TODAY(),"Expired",IF(F55-TODAY()&lt;=30,"Expiring Soon","Valid")))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4"/>
      <c r="F56" s="14" t="str">
        <f aca="false">IF(E56="","",EDATE(E56,24))</f>
        <v/>
      </c>
      <c r="G56" s="11" t="str">
        <f aca="true">IF(F56="","",IF(F56&lt;TODAY(),"Expired",IF(F56-TODAY()&lt;=30,"Expiring Soon","Valid")))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4"/>
      <c r="F57" s="14" t="str">
        <f aca="false">IF(E57="","",EDATE(E57,24))</f>
        <v/>
      </c>
      <c r="G57" s="11" t="str">
        <f aca="true">IF(F57="","",IF(F57&lt;TODAY(),"Expired",IF(F57-TODAY()&lt;=30,"Expiring Soon","Valid")))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4"/>
      <c r="F58" s="14" t="str">
        <f aca="false">IF(E58="","",EDATE(E58,24))</f>
        <v/>
      </c>
      <c r="G58" s="11" t="str">
        <f aca="true">IF(F58="","",IF(F58&lt;TODAY(),"Expired",IF(F58-TODAY()&lt;=30,"Expiring Soon","Valid")))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4"/>
      <c r="F59" s="14" t="str">
        <f aca="false">IF(E59="","",EDATE(E59,24))</f>
        <v/>
      </c>
      <c r="G59" s="11" t="str">
        <f aca="true">IF(F59="","",IF(F59&lt;TODAY(),"Expired",IF(F59-TODAY()&lt;=30,"Expiring Soon","Valid")))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4"/>
      <c r="F60" s="14" t="str">
        <f aca="false">IF(E60="","",EDATE(E60,24))</f>
        <v/>
      </c>
      <c r="G60" s="11" t="str">
        <f aca="true">IF(F60="","",IF(F60&lt;TODAY(),"Expired",IF(F60-TODAY()&lt;=30,"Expiring Soon","Valid")))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4"/>
      <c r="F61" s="14" t="str">
        <f aca="false">IF(E61="","",EDATE(E61,24))</f>
        <v/>
      </c>
      <c r="G61" s="11" t="str">
        <f aca="true">IF(F61="","",IF(F61&lt;TODAY(),"Expired",IF(F61-TODAY()&lt;=30,"Expiring Soon","Valid")))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4"/>
      <c r="F62" s="14" t="str">
        <f aca="false">IF(E62="","",EDATE(E62,24))</f>
        <v/>
      </c>
      <c r="G62" s="11" t="str">
        <f aca="true">IF(F62="","",IF(F62&lt;TODAY(),"Expired",IF(F62-TODAY()&lt;=30,"Expiring Soon","Valid")))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4"/>
      <c r="F63" s="14" t="str">
        <f aca="false">IF(E63="","",EDATE(E63,24))</f>
        <v/>
      </c>
      <c r="G63" s="11" t="str">
        <f aca="true">IF(F63="","",IF(F63&lt;TODAY(),"Expired",IF(F63-TODAY()&lt;=30,"Expiring Soon","Valid")))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4"/>
      <c r="F64" s="14" t="str">
        <f aca="false">IF(E64="","",EDATE(E64,24))</f>
        <v/>
      </c>
      <c r="G64" s="11" t="str">
        <f aca="true">IF(F64="","",IF(F64&lt;TODAY(),"Expired",IF(F64-TODAY()&lt;=30,"Expiring Soon","Valid")))</f>
        <v/>
      </c>
    </row>
    <row r="65" customFormat="false" ht="15" hidden="false" customHeight="false" outlineLevel="0" collapsed="false">
      <c r="A65" s="10"/>
      <c r="B65" s="11"/>
      <c r="C65" s="10"/>
      <c r="D65" s="10"/>
      <c r="E65" s="14"/>
      <c r="F65" s="14" t="str">
        <f aca="false">IF(E65="","",EDATE(E65,24))</f>
        <v/>
      </c>
      <c r="G65" s="11" t="str">
        <f aca="true">IF(F65="","",IF(F65&lt;TODAY(),"Expired",IF(F65-TODAY()&lt;=30,"Expiring Soon","Valid")))</f>
        <v/>
      </c>
    </row>
    <row r="66" customFormat="false" ht="15" hidden="false" customHeight="false" outlineLevel="0" collapsed="false">
      <c r="A66" s="10"/>
      <c r="B66" s="11"/>
      <c r="C66" s="10"/>
      <c r="D66" s="10"/>
      <c r="E66" s="14"/>
      <c r="F66" s="14" t="str">
        <f aca="false">IF(E66="","",EDATE(E66,24))</f>
        <v/>
      </c>
      <c r="G66" s="11" t="str">
        <f aca="true">IF(F66="","",IF(F66&lt;TODAY(),"Expired",IF(F66-TODAY()&lt;=30,"Expiring Soon","Valid")))</f>
        <v/>
      </c>
    </row>
    <row r="67" customFormat="false" ht="15" hidden="false" customHeight="false" outlineLevel="0" collapsed="false">
      <c r="A67" s="10"/>
      <c r="B67" s="11"/>
      <c r="C67" s="10"/>
      <c r="D67" s="10"/>
      <c r="E67" s="14"/>
      <c r="F67" s="14" t="str">
        <f aca="false">IF(E67="","",EDATE(E67,24))</f>
        <v/>
      </c>
      <c r="G67" s="11" t="str">
        <f aca="true">IF(F67="","",IF(F67&lt;TODAY(),"Expired",IF(F67-TODAY()&lt;=30,"Expiring Soon","Valid")))</f>
        <v/>
      </c>
    </row>
    <row r="68" customFormat="false" ht="15" hidden="false" customHeight="false" outlineLevel="0" collapsed="false">
      <c r="A68" s="10"/>
      <c r="B68" s="11"/>
      <c r="C68" s="10"/>
      <c r="D68" s="10"/>
      <c r="E68" s="14"/>
      <c r="F68" s="14" t="str">
        <f aca="false">IF(E68="","",EDATE(E68,24))</f>
        <v/>
      </c>
      <c r="G68" s="11" t="str">
        <f aca="true">IF(F68="","",IF(F68&lt;TODAY(),"Expired",IF(F68-TODAY()&lt;=30,"Expiring Soon","Valid")))</f>
        <v/>
      </c>
    </row>
    <row r="69" customFormat="false" ht="15" hidden="false" customHeight="false" outlineLevel="0" collapsed="false">
      <c r="A69" s="10"/>
      <c r="B69" s="11"/>
      <c r="C69" s="10"/>
      <c r="D69" s="10"/>
      <c r="E69" s="14"/>
      <c r="F69" s="14" t="str">
        <f aca="false">IF(E69="","",EDATE(E69,24))</f>
        <v/>
      </c>
      <c r="G69" s="11" t="str">
        <f aca="true">IF(F69="","",IF(F69&lt;TODAY(),"Expired",IF(F69-TODAY()&lt;=30,"Expiring Soon","Valid")))</f>
        <v/>
      </c>
    </row>
    <row r="70" customFormat="false" ht="15" hidden="false" customHeight="false" outlineLevel="0" collapsed="false">
      <c r="A70" s="10"/>
      <c r="B70" s="11"/>
      <c r="C70" s="10"/>
      <c r="D70" s="10"/>
      <c r="E70" s="14"/>
      <c r="F70" s="14" t="str">
        <f aca="false">IF(E70="","",EDATE(E70,24))</f>
        <v/>
      </c>
      <c r="G70" s="11" t="str">
        <f aca="true">IF(F70="","",IF(F70&lt;TODAY(),"Expired",IF(F70-TODAY()&lt;=30,"Expiring Soon","Valid")))</f>
        <v/>
      </c>
    </row>
    <row r="71" customFormat="false" ht="15" hidden="false" customHeight="false" outlineLevel="0" collapsed="false">
      <c r="A71" s="10"/>
      <c r="B71" s="11"/>
      <c r="C71" s="10"/>
      <c r="D71" s="10"/>
      <c r="E71" s="14"/>
      <c r="F71" s="14" t="str">
        <f aca="false">IF(E71="","",EDATE(E71,24))</f>
        <v/>
      </c>
      <c r="G71" s="11" t="str">
        <f aca="true">IF(F71="","",IF(F71&lt;TODAY(),"Expired",IF(F71-TODAY()&lt;=30,"Expiring Soon","Valid")))</f>
        <v/>
      </c>
    </row>
    <row r="72" customFormat="false" ht="15" hidden="false" customHeight="false" outlineLevel="0" collapsed="false">
      <c r="A72" s="10"/>
      <c r="B72" s="11"/>
      <c r="C72" s="10"/>
      <c r="D72" s="10"/>
      <c r="E72" s="14"/>
      <c r="F72" s="14" t="str">
        <f aca="false">IF(E72="","",EDATE(E72,24))</f>
        <v/>
      </c>
      <c r="G72" s="11" t="str">
        <f aca="true">IF(F72="","",IF(F72&lt;TODAY(),"Expired",IF(F72-TODAY()&lt;=30,"Expiring Soon","Valid")))</f>
        <v/>
      </c>
    </row>
    <row r="73" customFormat="false" ht="15" hidden="false" customHeight="false" outlineLevel="0" collapsed="false">
      <c r="A73" s="10"/>
      <c r="B73" s="11"/>
      <c r="C73" s="10"/>
      <c r="D73" s="10"/>
      <c r="E73" s="14"/>
      <c r="F73" s="14" t="str">
        <f aca="false">IF(E73="","",EDATE(E73,24))</f>
        <v/>
      </c>
      <c r="G73" s="11" t="str">
        <f aca="true">IF(F73="","",IF(F73&lt;TODAY(),"Expired",IF(F73-TODAY()&lt;=30,"Expiring Soon","Valid")))</f>
        <v/>
      </c>
    </row>
    <row r="74" customFormat="false" ht="15" hidden="false" customHeight="false" outlineLevel="0" collapsed="false">
      <c r="A74" s="10"/>
      <c r="B74" s="11"/>
      <c r="C74" s="10"/>
      <c r="D74" s="10"/>
      <c r="E74" s="14"/>
      <c r="F74" s="14" t="str">
        <f aca="false">IF(E74="","",EDATE(E74,24))</f>
        <v/>
      </c>
      <c r="G74" s="11" t="str">
        <f aca="true">IF(F74="","",IF(F74&lt;TODAY(),"Expired",IF(F74-TODAY()&lt;=30,"Expiring Soon","Valid")))</f>
        <v/>
      </c>
    </row>
    <row r="75" customFormat="false" ht="15" hidden="false" customHeight="false" outlineLevel="0" collapsed="false">
      <c r="A75" s="10"/>
      <c r="B75" s="11"/>
      <c r="C75" s="10"/>
      <c r="D75" s="10"/>
      <c r="E75" s="14"/>
      <c r="F75" s="14" t="str">
        <f aca="false">IF(E75="","",EDATE(E75,24))</f>
        <v/>
      </c>
      <c r="G75" s="11" t="str">
        <f aca="true">IF(F75="","",IF(F75&lt;TODAY(),"Expired",IF(F75-TODAY()&lt;=30,"Expiring Soon","Valid")))</f>
        <v/>
      </c>
    </row>
    <row r="76" customFormat="false" ht="15" hidden="false" customHeight="false" outlineLevel="0" collapsed="false">
      <c r="A76" s="10"/>
      <c r="B76" s="11"/>
      <c r="C76" s="10"/>
      <c r="D76" s="10"/>
      <c r="E76" s="14"/>
      <c r="F76" s="14" t="str">
        <f aca="false">IF(E76="","",EDATE(E76,24))</f>
        <v/>
      </c>
      <c r="G76" s="11" t="str">
        <f aca="true">IF(F76="","",IF(F76&lt;TODAY(),"Expired",IF(F76-TODAY()&lt;=30,"Expiring Soon","Valid")))</f>
        <v/>
      </c>
    </row>
    <row r="77" customFormat="false" ht="15" hidden="false" customHeight="false" outlineLevel="0" collapsed="false">
      <c r="A77" s="10"/>
      <c r="B77" s="11"/>
      <c r="C77" s="10"/>
      <c r="D77" s="10"/>
      <c r="E77" s="14"/>
      <c r="F77" s="14" t="str">
        <f aca="false">IF(E77="","",EDATE(E77,24))</f>
        <v/>
      </c>
      <c r="G77" s="11" t="str">
        <f aca="true">IF(F77="","",IF(F77&lt;TODAY(),"Expired",IF(F77-TODAY()&lt;=30,"Expiring Soon","Valid")))</f>
        <v/>
      </c>
    </row>
    <row r="78" customFormat="false" ht="15" hidden="false" customHeight="false" outlineLevel="0" collapsed="false">
      <c r="A78" s="10"/>
      <c r="B78" s="11"/>
      <c r="C78" s="10"/>
      <c r="D78" s="10"/>
      <c r="E78" s="14"/>
      <c r="F78" s="14" t="str">
        <f aca="false">IF(E78="","",EDATE(E78,24))</f>
        <v/>
      </c>
      <c r="G78" s="11" t="str">
        <f aca="true">IF(F78="","",IF(F78&lt;TODAY(),"Expired",IF(F78-TODAY()&lt;=30,"Expiring Soon","Valid")))</f>
        <v/>
      </c>
    </row>
    <row r="79" customFormat="false" ht="15" hidden="false" customHeight="false" outlineLevel="0" collapsed="false">
      <c r="A79" s="10"/>
      <c r="B79" s="11"/>
      <c r="C79" s="10"/>
      <c r="D79" s="10"/>
      <c r="E79" s="14"/>
      <c r="F79" s="14" t="str">
        <f aca="false">IF(E79="","",EDATE(E79,24))</f>
        <v/>
      </c>
      <c r="G79" s="11" t="str">
        <f aca="true">IF(F79="","",IF(F79&lt;TODAY(),"Expired",IF(F79-TODAY()&lt;=30,"Expiring Soon","Valid")))</f>
        <v/>
      </c>
    </row>
    <row r="80" customFormat="false" ht="15" hidden="false" customHeight="false" outlineLevel="0" collapsed="false">
      <c r="A80" s="10"/>
      <c r="B80" s="11"/>
      <c r="C80" s="10"/>
      <c r="D80" s="10"/>
      <c r="E80" s="14"/>
      <c r="F80" s="14" t="str">
        <f aca="false">IF(E80="","",EDATE(E80,24))</f>
        <v/>
      </c>
      <c r="G80" s="11" t="str">
        <f aca="true">IF(F80="","",IF(F80&lt;TODAY(),"Expired",IF(F80-TODAY()&lt;=30,"Expiring Soon","Valid")))</f>
        <v/>
      </c>
    </row>
    <row r="81" customFormat="false" ht="15" hidden="false" customHeight="false" outlineLevel="0" collapsed="false">
      <c r="A81" s="10"/>
      <c r="B81" s="11"/>
      <c r="C81" s="10"/>
      <c r="D81" s="10"/>
      <c r="E81" s="14"/>
      <c r="F81" s="14" t="str">
        <f aca="false">IF(E81="","",EDATE(E81,24))</f>
        <v/>
      </c>
      <c r="G81" s="11" t="str">
        <f aca="true">IF(F81="","",IF(F81&lt;TODAY(),"Expired",IF(F81-TODAY()&lt;=30,"Expiring Soon","Valid")))</f>
        <v/>
      </c>
    </row>
    <row r="82" customFormat="false" ht="15" hidden="false" customHeight="false" outlineLevel="0" collapsed="false">
      <c r="A82" s="10"/>
      <c r="B82" s="11"/>
      <c r="C82" s="10"/>
      <c r="D82" s="10"/>
      <c r="E82" s="14"/>
      <c r="F82" s="14" t="str">
        <f aca="false">IF(E82="","",EDATE(E82,24))</f>
        <v/>
      </c>
      <c r="G82" s="11" t="str">
        <f aca="true">IF(F82="","",IF(F82&lt;TODAY(),"Expired",IF(F82-TODAY()&lt;=30,"Expiring Soon","Valid")))</f>
        <v/>
      </c>
    </row>
    <row r="83" customFormat="false" ht="15" hidden="false" customHeight="false" outlineLevel="0" collapsed="false">
      <c r="A83" s="10"/>
      <c r="B83" s="11"/>
      <c r="C83" s="10"/>
      <c r="D83" s="10"/>
      <c r="E83" s="14"/>
      <c r="F83" s="14" t="str">
        <f aca="false">IF(E83="","",EDATE(E83,24))</f>
        <v/>
      </c>
      <c r="G83" s="11" t="str">
        <f aca="true">IF(F83="","",IF(F83&lt;TODAY(),"Expired",IF(F83-TODAY()&lt;=30,"Expiring Soon","Valid")))</f>
        <v/>
      </c>
    </row>
    <row r="84" customFormat="false" ht="15" hidden="false" customHeight="false" outlineLevel="0" collapsed="false">
      <c r="A84" s="10"/>
      <c r="B84" s="11"/>
      <c r="C84" s="10"/>
      <c r="D84" s="10"/>
      <c r="E84" s="14"/>
      <c r="F84" s="14" t="str">
        <f aca="false">IF(E84="","",EDATE(E84,24))</f>
        <v/>
      </c>
      <c r="G84" s="11" t="str">
        <f aca="true">IF(F84="","",IF(F84&lt;TODAY(),"Expired",IF(F84-TODAY()&lt;=30,"Expiring Soon","Valid")))</f>
        <v/>
      </c>
    </row>
    <row r="85" customFormat="false" ht="15" hidden="false" customHeight="false" outlineLevel="0" collapsed="false">
      <c r="A85" s="10"/>
      <c r="B85" s="11"/>
      <c r="C85" s="10"/>
      <c r="D85" s="10"/>
      <c r="E85" s="14"/>
      <c r="F85" s="14" t="str">
        <f aca="false">IF(E85="","",EDATE(E85,24))</f>
        <v/>
      </c>
      <c r="G85" s="11" t="str">
        <f aca="true">IF(F85="","",IF(F85&lt;TODAY(),"Expired",IF(F85-TODAY()&lt;=30,"Expiring Soon","Valid")))</f>
        <v/>
      </c>
    </row>
    <row r="86" customFormat="false" ht="15" hidden="false" customHeight="false" outlineLevel="0" collapsed="false">
      <c r="A86" s="10"/>
      <c r="B86" s="11"/>
      <c r="C86" s="10"/>
      <c r="D86" s="10"/>
      <c r="E86" s="14"/>
      <c r="F86" s="14" t="str">
        <f aca="false">IF(E86="","",EDATE(E86,24))</f>
        <v/>
      </c>
      <c r="G86" s="11" t="str">
        <f aca="true">IF(F86="","",IF(F86&lt;TODAY(),"Expired",IF(F86-TODAY()&lt;=30,"Expiring Soon","Valid")))</f>
        <v/>
      </c>
    </row>
    <row r="87" customFormat="false" ht="15" hidden="false" customHeight="false" outlineLevel="0" collapsed="false">
      <c r="A87" s="10"/>
      <c r="B87" s="11"/>
      <c r="C87" s="10"/>
      <c r="D87" s="10"/>
      <c r="E87" s="14"/>
      <c r="F87" s="14" t="str">
        <f aca="false">IF(E87="","",EDATE(E87,24))</f>
        <v/>
      </c>
      <c r="G87" s="11" t="str">
        <f aca="true">IF(F87="","",IF(F87&lt;TODAY(),"Expired",IF(F87-TODAY()&lt;=30,"Expiring Soon","Valid")))</f>
        <v/>
      </c>
    </row>
    <row r="88" customFormat="false" ht="15" hidden="false" customHeight="false" outlineLevel="0" collapsed="false">
      <c r="A88" s="10"/>
      <c r="B88" s="11"/>
      <c r="C88" s="10"/>
      <c r="D88" s="10"/>
      <c r="E88" s="14"/>
      <c r="F88" s="14" t="str">
        <f aca="false">IF(E88="","",EDATE(E88,24))</f>
        <v/>
      </c>
      <c r="G88" s="11" t="str">
        <f aca="true">IF(F88="","",IF(F88&lt;TODAY(),"Expired",IF(F88-TODAY()&lt;=30,"Expiring Soon","Valid")))</f>
        <v/>
      </c>
    </row>
    <row r="89" customFormat="false" ht="15" hidden="false" customHeight="false" outlineLevel="0" collapsed="false">
      <c r="A89" s="10"/>
      <c r="B89" s="11"/>
      <c r="C89" s="10"/>
      <c r="D89" s="10"/>
      <c r="E89" s="14"/>
      <c r="F89" s="14" t="str">
        <f aca="false">IF(E89="","",EDATE(E89,24))</f>
        <v/>
      </c>
      <c r="G89" s="11" t="str">
        <f aca="true">IF(F89="","",IF(F89&lt;TODAY(),"Expired",IF(F89-TODAY()&lt;=30,"Expiring Soon","Valid")))</f>
        <v/>
      </c>
    </row>
    <row r="90" customFormat="false" ht="15" hidden="false" customHeight="false" outlineLevel="0" collapsed="false">
      <c r="A90" s="10"/>
      <c r="B90" s="11"/>
      <c r="C90" s="10"/>
      <c r="D90" s="10"/>
      <c r="E90" s="14"/>
      <c r="F90" s="14" t="str">
        <f aca="false">IF(E90="","",EDATE(E90,24))</f>
        <v/>
      </c>
      <c r="G90" s="11" t="str">
        <f aca="true">IF(F90="","",IF(F90&lt;TODAY(),"Expired",IF(F90-TODAY()&lt;=30,"Expiring Soon","Valid")))</f>
        <v/>
      </c>
    </row>
    <row r="91" customFormat="false" ht="15" hidden="false" customHeight="false" outlineLevel="0" collapsed="false">
      <c r="A91" s="10"/>
      <c r="B91" s="11"/>
      <c r="C91" s="10"/>
      <c r="D91" s="10"/>
      <c r="E91" s="14"/>
      <c r="F91" s="14" t="str">
        <f aca="false">IF(E91="","",EDATE(E91,24))</f>
        <v/>
      </c>
      <c r="G91" s="11" t="str">
        <f aca="true">IF(F91="","",IF(F91&lt;TODAY(),"Expired",IF(F91-TODAY()&lt;=30,"Expiring Soon","Valid")))</f>
        <v/>
      </c>
    </row>
    <row r="92" customFormat="false" ht="15" hidden="false" customHeight="false" outlineLevel="0" collapsed="false">
      <c r="A92" s="10"/>
      <c r="B92" s="11"/>
      <c r="C92" s="10"/>
      <c r="D92" s="10"/>
      <c r="E92" s="14"/>
      <c r="F92" s="14" t="str">
        <f aca="false">IF(E92="","",EDATE(E92,24))</f>
        <v/>
      </c>
      <c r="G92" s="11" t="str">
        <f aca="true">IF(F92="","",IF(F92&lt;TODAY(),"Expired",IF(F92-TODAY()&lt;=30,"Expiring Soon","Valid")))</f>
        <v/>
      </c>
    </row>
    <row r="93" customFormat="false" ht="15" hidden="false" customHeight="false" outlineLevel="0" collapsed="false">
      <c r="A93" s="10"/>
      <c r="B93" s="11"/>
      <c r="C93" s="10"/>
      <c r="D93" s="10"/>
      <c r="E93" s="14"/>
      <c r="F93" s="14" t="str">
        <f aca="false">IF(E93="","",EDATE(E93,24))</f>
        <v/>
      </c>
      <c r="G93" s="11" t="str">
        <f aca="true">IF(F93="","",IF(F93&lt;TODAY(),"Expired",IF(F93-TODAY()&lt;=30,"Expiring Soon","Valid")))</f>
        <v/>
      </c>
    </row>
    <row r="94" customFormat="false" ht="15" hidden="false" customHeight="false" outlineLevel="0" collapsed="false">
      <c r="A94" s="10"/>
      <c r="B94" s="11"/>
      <c r="C94" s="10"/>
      <c r="D94" s="10"/>
      <c r="E94" s="14"/>
      <c r="F94" s="14" t="str">
        <f aca="false">IF(E94="","",EDATE(E94,24))</f>
        <v/>
      </c>
      <c r="G94" s="11" t="str">
        <f aca="true">IF(F94="","",IF(F94&lt;TODAY(),"Expired",IF(F94-TODAY()&lt;=30,"Expiring Soon","Valid")))</f>
        <v/>
      </c>
    </row>
    <row r="95" customFormat="false" ht="15" hidden="false" customHeight="false" outlineLevel="0" collapsed="false">
      <c r="A95" s="10"/>
      <c r="B95" s="11"/>
      <c r="C95" s="10"/>
      <c r="D95" s="10"/>
      <c r="E95" s="14"/>
      <c r="F95" s="14" t="str">
        <f aca="false">IF(E95="","",EDATE(E95,24))</f>
        <v/>
      </c>
      <c r="G95" s="11" t="str">
        <f aca="true">IF(F95="","",IF(F95&lt;TODAY(),"Expired",IF(F95-TODAY()&lt;=30,"Expiring Soon","Valid")))</f>
        <v/>
      </c>
    </row>
    <row r="96" customFormat="false" ht="15" hidden="false" customHeight="false" outlineLevel="0" collapsed="false">
      <c r="A96" s="10"/>
      <c r="B96" s="11"/>
      <c r="C96" s="10"/>
      <c r="D96" s="10"/>
      <c r="E96" s="14"/>
      <c r="F96" s="14" t="str">
        <f aca="false">IF(E96="","",EDATE(E96,24))</f>
        <v/>
      </c>
      <c r="G96" s="11" t="str">
        <f aca="true">IF(F96="","",IF(F96&lt;TODAY(),"Expired",IF(F96-TODAY()&lt;=30,"Expiring Soon","Valid")))</f>
        <v/>
      </c>
    </row>
    <row r="97" customFormat="false" ht="15" hidden="false" customHeight="false" outlineLevel="0" collapsed="false">
      <c r="A97" s="10"/>
      <c r="B97" s="11"/>
      <c r="C97" s="10"/>
      <c r="D97" s="10"/>
      <c r="E97" s="14"/>
      <c r="F97" s="14" t="str">
        <f aca="false">IF(E97="","",EDATE(E97,24))</f>
        <v/>
      </c>
      <c r="G97" s="11" t="str">
        <f aca="true">IF(F97="","",IF(F97&lt;TODAY(),"Expired",IF(F97-TODAY()&lt;=30,"Expiring Soon","Valid")))</f>
        <v/>
      </c>
    </row>
    <row r="98" customFormat="false" ht="15" hidden="false" customHeight="false" outlineLevel="0" collapsed="false">
      <c r="A98" s="10"/>
      <c r="B98" s="11"/>
      <c r="C98" s="10"/>
      <c r="D98" s="10"/>
      <c r="E98" s="14"/>
      <c r="F98" s="14" t="str">
        <f aca="false">IF(E98="","",EDATE(E98,24))</f>
        <v/>
      </c>
      <c r="G98" s="11" t="str">
        <f aca="true">IF(F98="","",IF(F98&lt;TODAY(),"Expired",IF(F98-TODAY()&lt;=30,"Expiring Soon","Valid")))</f>
        <v/>
      </c>
    </row>
    <row r="99" customFormat="false" ht="15" hidden="false" customHeight="false" outlineLevel="0" collapsed="false">
      <c r="A99" s="10"/>
      <c r="B99" s="11"/>
      <c r="C99" s="10"/>
      <c r="D99" s="10"/>
      <c r="E99" s="14"/>
      <c r="F99" s="14" t="str">
        <f aca="false">IF(E99="","",EDATE(E99,24))</f>
        <v/>
      </c>
      <c r="G99" s="11" t="str">
        <f aca="true">IF(F99="","",IF(F99&lt;TODAY(),"Expired",IF(F99-TODAY()&lt;=30,"Expiring Soon","Valid")))</f>
        <v/>
      </c>
    </row>
    <row r="100" customFormat="false" ht="15" hidden="false" customHeight="false" outlineLevel="0" collapsed="false">
      <c r="A100" s="10"/>
      <c r="B100" s="11"/>
      <c r="C100" s="10"/>
      <c r="D100" s="10"/>
      <c r="E100" s="14"/>
      <c r="F100" s="14" t="str">
        <f aca="false">IF(E100="","",EDATE(E100,24))</f>
        <v/>
      </c>
      <c r="G100" s="11" t="str">
        <f aca="true">IF(F100="","",IF(F100&lt;TODAY(),"Expired",IF(F100-TODAY()&lt;=30,"Expiring Soon","Valid")))</f>
        <v/>
      </c>
    </row>
    <row r="101" customFormat="false" ht="15" hidden="false" customHeight="false" outlineLevel="0" collapsed="false">
      <c r="A101" s="10"/>
      <c r="B101" s="11"/>
      <c r="C101" s="10"/>
      <c r="D101" s="10"/>
      <c r="E101" s="14"/>
      <c r="F101" s="14" t="str">
        <f aca="false">IF(E101="","",EDATE(E101,24))</f>
        <v/>
      </c>
      <c r="G101" s="11" t="str">
        <f aca="true">IF(F101="","",IF(F101&lt;TODAY(),"Expired",IF(F101-TODAY()&lt;=30,"Expiring Soon","Valid")))</f>
        <v/>
      </c>
    </row>
    <row r="102" customFormat="false" ht="15" hidden="false" customHeight="false" outlineLevel="0" collapsed="false">
      <c r="A102" s="10"/>
      <c r="B102" s="11"/>
      <c r="C102" s="10"/>
      <c r="D102" s="10"/>
      <c r="E102" s="14"/>
      <c r="F102" s="14" t="str">
        <f aca="false">IF(E102="","",EDATE(E102,24))</f>
        <v/>
      </c>
      <c r="G102" s="11" t="str">
        <f aca="true">IF(F102="","",IF(F102&lt;TODAY(),"Expired",IF(F102-TODAY()&lt;=30,"Expiring Soon","Valid")))</f>
        <v/>
      </c>
    </row>
  </sheetData>
  <mergeCells count="1">
    <mergeCell ref="A1:G1"/>
  </mergeCells>
  <conditionalFormatting sqref="G3:G102">
    <cfRule type="cellIs" priority="2" operator="equal" aboveAverage="0" equalAverage="0" bottom="0" percent="0" rank="0" text="" dxfId="2">
      <formula>"Valid"</formula>
    </cfRule>
    <cfRule type="cellIs" priority="3" operator="equal" aboveAverage="0" equalAverage="0" bottom="0" percent="0" rank="0" text="" dxfId="0">
      <formula>"Expiring Soon"</formula>
    </cfRule>
    <cfRule type="cellIs" priority="4" operator="equal" aboveAverage="0" equalAverage="0" bottom="0" percent="0" rank="0" text="" dxfId="1">
      <formula>"Expired"</formula>
    </cfRule>
  </conditionalFormatting>
  <conditionalFormatting sqref="A3:G102">
    <cfRule type="expression" priority="5" aboveAverage="0" equalAverage="0" bottom="0" percent="0" rank="0" text="" dxfId="3">
      <formula>$G3="Expired"</formula>
    </cfRule>
    <cfRule type="expression" priority="6" aboveAverage="0" equalAverage="0" bottom="0" percent="0" rank="0" text="" dxfId="4">
      <formula>$G3="Expiring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5" t="s">
        <v>89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7" t="s">
        <v>90</v>
      </c>
    </row>
    <row r="4" customFormat="false" ht="15" hidden="false" customHeight="false" outlineLevel="0" collapsed="false">
      <c r="A4" s="16"/>
    </row>
    <row r="5" customFormat="false" ht="15" hidden="false" customHeight="false" outlineLevel="0" collapsed="false">
      <c r="A5" s="17" t="s">
        <v>91</v>
      </c>
    </row>
    <row r="6" customFormat="false" ht="15" hidden="false" customHeight="false" outlineLevel="0" collapsed="false">
      <c r="A6" s="16"/>
    </row>
    <row r="7" customFormat="false" ht="15" hidden="false" customHeight="false" outlineLevel="0" collapsed="false">
      <c r="A7" s="17" t="s">
        <v>92</v>
      </c>
    </row>
    <row r="8" customFormat="false" ht="15" hidden="false" customHeight="false" outlineLevel="0" collapsed="false">
      <c r="A8" s="16"/>
    </row>
    <row r="9" customFormat="false" ht="15" hidden="false" customHeight="false" outlineLevel="0" collapsed="false">
      <c r="A9" s="17" t="s">
        <v>93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7" t="s">
        <v>94</v>
      </c>
    </row>
    <row r="12" customFormat="false" ht="15" hidden="false" customHeight="false" outlineLevel="0" collapsed="false">
      <c r="A12" s="16"/>
    </row>
    <row r="13" customFormat="false" ht="15" hidden="false" customHeight="false" outlineLevel="0" collapsed="false">
      <c r="A13" s="17" t="s">
        <v>95</v>
      </c>
    </row>
    <row r="14" customFormat="false" ht="15" hidden="false" customHeight="false" outlineLevel="0" collapsed="false">
      <c r="A14" s="16"/>
    </row>
    <row r="15" customFormat="false" ht="15" hidden="false" customHeight="false" outlineLevel="0" collapsed="false">
      <c r="A15" s="17" t="s">
        <v>96</v>
      </c>
    </row>
    <row r="16" customFormat="false" ht="15" hidden="false" customHeight="false" outlineLevel="0" collapsed="false">
      <c r="A16" s="16" t="s">
        <v>97</v>
      </c>
    </row>
    <row r="17" customFormat="false" ht="15" hidden="false" customHeight="false" outlineLevel="0" collapsed="false">
      <c r="A17" s="16" t="s">
        <v>98</v>
      </c>
    </row>
    <row r="18" customFormat="false" ht="15" hidden="false" customHeight="false" outlineLevel="0" collapsed="false">
      <c r="A18" s="16"/>
    </row>
    <row r="19" customFormat="false" ht="15" hidden="false" customHeight="false" outlineLevel="0" collapsed="false">
      <c r="A19" s="17" t="s">
        <v>99</v>
      </c>
    </row>
    <row r="20" customFormat="false" ht="15" hidden="false" customHeight="false" outlineLevel="0" collapsed="false">
      <c r="A20" s="16" t="s">
        <v>100</v>
      </c>
    </row>
    <row r="21" customFormat="false" ht="15" hidden="false" customHeight="false" outlineLevel="0" collapsed="false">
      <c r="A21" s="16" t="s">
        <v>101</v>
      </c>
    </row>
    <row r="22" customFormat="false" ht="15" hidden="false" customHeight="false" outlineLevel="0" collapsed="false">
      <c r="A22" s="1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2026-05-04T06:17:09Z</dcterms:created>
  <dc:creator>openpyxl</dc:creator>
  <dc:description/>
  <dc:language>en-US</dc:language>
  <cp:lastModifiedBy/>
  <dcterms:modified xsi:type="dcterms:W3CDTF">2026-05-04T06:17:11Z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